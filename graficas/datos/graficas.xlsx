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ml.chartshapes+xml"/>
  <Override PartName="/xl/charts/chart5.xml" ContentType="application/vnd.openxmlformats-officedocument.drawingml.chart+xml"/>
  <Override PartName="/xl/drawings/drawing8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autoCompressPictures="0" defaultThemeVersion="124226"/>
  <bookViews>
    <workbookView xWindow="0" yWindow="0" windowWidth="33435" windowHeight="15990" tabRatio="619" activeTab="1"/>
  </bookViews>
  <sheets>
    <sheet name="C.Comercial" sheetId="17" r:id="rId1"/>
    <sheet name="Viviendas 1" sheetId="14" r:id="rId2"/>
    <sheet name="Viviendas 2" sheetId="16" r:id="rId3"/>
    <sheet name="Of. por Áreas (old)" sheetId="11" r:id="rId4"/>
  </sheets>
  <calcPr calcId="125725"/>
</workbook>
</file>

<file path=xl/calcChain.xml><?xml version="1.0" encoding="utf-8"?>
<calcChain xmlns="http://schemas.openxmlformats.org/spreadsheetml/2006/main">
  <c r="C41" i="11"/>
  <c r="D41"/>
  <c r="E41"/>
  <c r="F41"/>
  <c r="G41"/>
  <c r="H41"/>
  <c r="I41"/>
  <c r="J41"/>
  <c r="K41"/>
  <c r="L41"/>
  <c r="C52"/>
  <c r="D52"/>
  <c r="E52"/>
  <c r="F52"/>
  <c r="G52"/>
  <c r="H52"/>
  <c r="I52"/>
  <c r="J52"/>
  <c r="K52"/>
  <c r="L52"/>
  <c r="L26"/>
  <c r="K26"/>
  <c r="J26"/>
  <c r="I26"/>
  <c r="H26"/>
  <c r="G26"/>
  <c r="F26"/>
  <c r="E26"/>
  <c r="D26"/>
  <c r="C26"/>
  <c r="C15"/>
  <c r="D15"/>
  <c r="E15"/>
  <c r="F15"/>
  <c r="G15"/>
  <c r="H15"/>
  <c r="I15"/>
  <c r="J15"/>
  <c r="K15"/>
  <c r="L15"/>
</calcChain>
</file>

<file path=xl/comments1.xml><?xml version="1.0" encoding="utf-8"?>
<comments xmlns="http://schemas.openxmlformats.org/spreadsheetml/2006/main">
  <authors>
    <author>Pablo Escamilla</author>
  </authors>
  <commentList>
    <comment ref="B2" authorId="0">
      <text>
        <r>
          <rPr>
            <b/>
            <sz val="9"/>
            <color indexed="81"/>
            <rFont val="Tahoma"/>
            <family val="2"/>
          </rPr>
          <t xml:space="preserve">Fuente:
</t>
        </r>
        <r>
          <rPr>
            <sz val="9"/>
            <color indexed="81"/>
            <rFont val="Tahoma"/>
            <family val="2"/>
          </rPr>
          <t>Sociedad de Tasación</t>
        </r>
      </text>
    </comment>
    <comment ref="C2" authorId="0">
      <text>
        <r>
          <rPr>
            <b/>
            <sz val="9"/>
            <color indexed="81"/>
            <rFont val="Tahoma"/>
            <family val="2"/>
          </rPr>
          <t xml:space="preserve">Fuente:
</t>
        </r>
        <r>
          <rPr>
            <sz val="9"/>
            <color indexed="81"/>
            <rFont val="Tahoma"/>
            <family val="2"/>
          </rPr>
          <t>Sociedad de Tasación</t>
        </r>
      </text>
    </comment>
    <comment ref="D2" authorId="0">
      <text>
        <r>
          <rPr>
            <b/>
            <sz val="9"/>
            <color indexed="81"/>
            <rFont val="Tahoma"/>
            <family val="2"/>
          </rPr>
          <t>Fuente:</t>
        </r>
        <r>
          <rPr>
            <sz val="9"/>
            <color indexed="81"/>
            <rFont val="Tahoma"/>
            <family val="2"/>
          </rPr>
          <t xml:space="preserve">
Sociedad de Tasación
</t>
        </r>
      </text>
    </comment>
    <comment ref="E2" authorId="0">
      <text>
        <r>
          <rPr>
            <b/>
            <sz val="9"/>
            <color indexed="81"/>
            <rFont val="Tahoma"/>
            <family val="2"/>
          </rPr>
          <t xml:space="preserve">Fuente:
</t>
        </r>
        <r>
          <rPr>
            <sz val="9"/>
            <color indexed="81"/>
            <rFont val="Tahoma"/>
            <family val="2"/>
          </rPr>
          <t xml:space="preserve">Instituto de Práctica Empresarial
</t>
        </r>
      </text>
    </comment>
  </commentList>
</comments>
</file>

<file path=xl/sharedStrings.xml><?xml version="1.0" encoding="utf-8"?>
<sst xmlns="http://schemas.openxmlformats.org/spreadsheetml/2006/main" count="162" uniqueCount="135">
  <si>
    <t>Barcelona</t>
  </si>
  <si>
    <t>Madrid</t>
  </si>
  <si>
    <t>M2</t>
  </si>
  <si>
    <t>Rentabilidad</t>
  </si>
  <si>
    <t>DEC</t>
  </si>
  <si>
    <t>PRIME</t>
  </si>
  <si>
    <t>OUT</t>
  </si>
  <si>
    <t>A3</t>
  </si>
  <si>
    <t>A2</t>
  </si>
  <si>
    <t>A1</t>
  </si>
  <si>
    <t>N/D</t>
  </si>
  <si>
    <t>Nº Ops</t>
  </si>
  <si>
    <t>viviendas terminadas</t>
  </si>
  <si>
    <t>proyectos visados</t>
  </si>
  <si>
    <t>año</t>
  </si>
  <si>
    <t>Evolución de Transacciones por Áreas</t>
  </si>
  <si>
    <t>Número de Operaciones</t>
  </si>
  <si>
    <t>Metros Cuadrados</t>
  </si>
  <si>
    <t>viviendas iniciadas</t>
  </si>
  <si>
    <t>terminadas</t>
  </si>
  <si>
    <t xml:space="preserve"> iniciadas</t>
  </si>
  <si>
    <t>proyectadas</t>
  </si>
  <si>
    <t>stock</t>
  </si>
  <si>
    <t>€/m2</t>
  </si>
  <si>
    <t>Fuente:</t>
  </si>
  <si>
    <t>expocasa</t>
  </si>
  <si>
    <t>Ministerio de Fomento</t>
  </si>
  <si>
    <t>1995 T1</t>
  </si>
  <si>
    <t>1995 T2</t>
  </si>
  <si>
    <t>1995 T3</t>
  </si>
  <si>
    <t>1995 T4</t>
  </si>
  <si>
    <t>1996 T1</t>
  </si>
  <si>
    <t>1996 T2</t>
  </si>
  <si>
    <t>1996 T3</t>
  </si>
  <si>
    <t>1996 T4</t>
  </si>
  <si>
    <t>1997 T1</t>
  </si>
  <si>
    <t>1997 T2</t>
  </si>
  <si>
    <t>1997 T3</t>
  </si>
  <si>
    <t>1997 T4</t>
  </si>
  <si>
    <t>1998 T1</t>
  </si>
  <si>
    <t>1998 T2</t>
  </si>
  <si>
    <t>1998 T3</t>
  </si>
  <si>
    <t>1998 T4</t>
  </si>
  <si>
    <t>1999 T2</t>
  </si>
  <si>
    <t>1999 T1</t>
  </si>
  <si>
    <t>1999 T4</t>
  </si>
  <si>
    <t>1999 T3</t>
  </si>
  <si>
    <t>2000 T1</t>
  </si>
  <si>
    <t>2000 T2</t>
  </si>
  <si>
    <t>2000 T4</t>
  </si>
  <si>
    <t>2000 T3</t>
  </si>
  <si>
    <t>2002 T4</t>
  </si>
  <si>
    <t>2002 T3</t>
  </si>
  <si>
    <t>2002 T2</t>
  </si>
  <si>
    <t>2002 T1</t>
  </si>
  <si>
    <t>2001 T4</t>
  </si>
  <si>
    <t>2001 T1</t>
  </si>
  <si>
    <t>2001 T2</t>
  </si>
  <si>
    <t>2001 T3</t>
  </si>
  <si>
    <t>2003 T1</t>
  </si>
  <si>
    <t>2003 T2</t>
  </si>
  <si>
    <t>2003 T3</t>
  </si>
  <si>
    <t>2003 T4</t>
  </si>
  <si>
    <t>2004 T1</t>
  </si>
  <si>
    <t>2004 T2</t>
  </si>
  <si>
    <t>2004 T3</t>
  </si>
  <si>
    <t>2004 T4</t>
  </si>
  <si>
    <t>2005 T1</t>
  </si>
  <si>
    <t>2005 T2</t>
  </si>
  <si>
    <t>2005 T3</t>
  </si>
  <si>
    <t>2005 T4</t>
  </si>
  <si>
    <t>2006 T1</t>
  </si>
  <si>
    <t>2006 T2</t>
  </si>
  <si>
    <t>2006 T3</t>
  </si>
  <si>
    <t>2006 T4</t>
  </si>
  <si>
    <t>2007 T1</t>
  </si>
  <si>
    <t>2007 T2</t>
  </si>
  <si>
    <t>2007 T3</t>
  </si>
  <si>
    <t>2007 T4</t>
  </si>
  <si>
    <t>2008 T1</t>
  </si>
  <si>
    <t>2008 T2</t>
  </si>
  <si>
    <t>2008 T3</t>
  </si>
  <si>
    <t>2008 T4</t>
  </si>
  <si>
    <t>2009 T1</t>
  </si>
  <si>
    <t>2009 T2</t>
  </si>
  <si>
    <t>2009 T3</t>
  </si>
  <si>
    <t>2009 T4</t>
  </si>
  <si>
    <t>2010 T1</t>
  </si>
  <si>
    <t>2010 T2</t>
  </si>
  <si>
    <t>2010 T3</t>
  </si>
  <si>
    <t>2010 T4</t>
  </si>
  <si>
    <t>2014 T3</t>
  </si>
  <si>
    <t>2014 T2</t>
  </si>
  <si>
    <t>2014 T1</t>
  </si>
  <si>
    <t>2013 T1</t>
  </si>
  <si>
    <t>2013 T3</t>
  </si>
  <si>
    <t>2013 T2</t>
  </si>
  <si>
    <t>2013 T4</t>
  </si>
  <si>
    <t>2011 T2</t>
  </si>
  <si>
    <t>2011 T1</t>
  </si>
  <si>
    <t>2012 T1</t>
  </si>
  <si>
    <t>2011 T4</t>
  </si>
  <si>
    <t>2011 T3</t>
  </si>
  <si>
    <t>2012 T4</t>
  </si>
  <si>
    <t>2012 T3</t>
  </si>
  <si>
    <t>2012 T2</t>
  </si>
  <si>
    <t>'95</t>
  </si>
  <si>
    <t>'96</t>
  </si>
  <si>
    <t>'97</t>
  </si>
  <si>
    <t>'98</t>
  </si>
  <si>
    <t>'99</t>
  </si>
  <si>
    <t>'01</t>
  </si>
  <si>
    <t>'02</t>
  </si>
  <si>
    <t>'03</t>
  </si>
  <si>
    <t>'04</t>
  </si>
  <si>
    <t>'05</t>
  </si>
  <si>
    <t>'06</t>
  </si>
  <si>
    <t>'07</t>
  </si>
  <si>
    <t>'08</t>
  </si>
  <si>
    <t>'09</t>
  </si>
  <si>
    <t>'10</t>
  </si>
  <si>
    <t>'11</t>
  </si>
  <si>
    <t>'12</t>
  </si>
  <si>
    <t>'13</t>
  </si>
  <si>
    <t>'14</t>
  </si>
  <si>
    <t>2015 T3</t>
  </si>
  <si>
    <t>2014 T4</t>
  </si>
  <si>
    <t>'15</t>
  </si>
  <si>
    <t>2015 T1</t>
  </si>
  <si>
    <t>2015 T2</t>
  </si>
  <si>
    <t>2015 T4</t>
  </si>
  <si>
    <t>'00</t>
  </si>
  <si>
    <t>Nº Transacciones</t>
  </si>
  <si>
    <t>Año</t>
  </si>
  <si>
    <t>Fuente: Cinco Días</t>
  </si>
</sst>
</file>

<file path=xl/styles.xml><?xml version="1.0" encoding="utf-8"?>
<styleSheet xmlns="http://schemas.openxmlformats.org/spreadsheetml/2006/main">
  <numFmts count="2">
    <numFmt numFmtId="43" formatCode="_-* #,##0.00\ _€_-;\-* #,##0.00\ _€_-;_-* &quot;-&quot;??\ _€_-;_-@_-"/>
    <numFmt numFmtId="164" formatCode="#,##0.0"/>
  </numFmts>
  <fonts count="14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2B4E6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49">
    <xf numFmtId="0" fontId="0" fillId="0" borderId="0" xfId="0"/>
    <xf numFmtId="0" fontId="4" fillId="2" borderId="0" xfId="1" applyFont="1" applyFill="1"/>
    <xf numFmtId="0" fontId="1" fillId="2" borderId="0" xfId="1" applyFill="1"/>
    <xf numFmtId="0" fontId="3" fillId="2" borderId="3" xfId="1" applyFont="1" applyFill="1" applyBorder="1"/>
    <xf numFmtId="0" fontId="3" fillId="2" borderId="1" xfId="1" applyFont="1" applyFill="1" applyBorder="1"/>
    <xf numFmtId="0" fontId="3" fillId="2" borderId="2" xfId="1" applyFont="1" applyFill="1" applyBorder="1"/>
    <xf numFmtId="0" fontId="3" fillId="2" borderId="0" xfId="1" applyFont="1" applyFill="1" applyBorder="1"/>
    <xf numFmtId="3" fontId="1" fillId="2" borderId="0" xfId="1" applyNumberFormat="1" applyFill="1"/>
    <xf numFmtId="0" fontId="5" fillId="2" borderId="0" xfId="1" applyFont="1" applyFill="1"/>
    <xf numFmtId="0" fontId="1" fillId="2" borderId="1" xfId="1" applyFill="1" applyBorder="1"/>
    <xf numFmtId="0" fontId="3" fillId="2" borderId="0" xfId="1" applyFont="1" applyFill="1"/>
    <xf numFmtId="3" fontId="1" fillId="2" borderId="1" xfId="1" applyNumberFormat="1" applyFill="1" applyBorder="1"/>
    <xf numFmtId="0" fontId="8" fillId="2" borderId="0" xfId="1" applyFont="1" applyFill="1"/>
    <xf numFmtId="0" fontId="9" fillId="2" borderId="0" xfId="1" applyFont="1" applyFill="1"/>
    <xf numFmtId="0" fontId="10" fillId="2" borderId="0" xfId="1" applyFont="1" applyFill="1"/>
    <xf numFmtId="0" fontId="0" fillId="0" borderId="0" xfId="0" applyFill="1"/>
    <xf numFmtId="0" fontId="0" fillId="0" borderId="4" xfId="0" applyBorder="1"/>
    <xf numFmtId="3" fontId="0" fillId="0" borderId="0" xfId="0" applyNumberFormat="1"/>
    <xf numFmtId="0" fontId="7" fillId="0" borderId="1" xfId="0" applyFont="1" applyBorder="1"/>
    <xf numFmtId="3" fontId="7" fillId="0" borderId="1" xfId="0" applyNumberFormat="1" applyFont="1" applyBorder="1"/>
    <xf numFmtId="3" fontId="11" fillId="0" borderId="0" xfId="0" applyNumberFormat="1" applyFont="1" applyAlignment="1">
      <alignment wrapText="1"/>
    </xf>
    <xf numFmtId="3" fontId="0" fillId="0" borderId="0" xfId="2" applyNumberFormat="1" applyFont="1"/>
    <xf numFmtId="3" fontId="0" fillId="0" borderId="4" xfId="2" applyNumberFormat="1" applyFont="1" applyBorder="1"/>
    <xf numFmtId="3" fontId="0" fillId="0" borderId="1" xfId="0" applyNumberFormat="1" applyBorder="1"/>
    <xf numFmtId="14" fontId="0" fillId="0" borderId="0" xfId="0" applyNumberFormat="1"/>
    <xf numFmtId="14" fontId="0" fillId="0" borderId="1" xfId="0" applyNumberFormat="1" applyBorder="1"/>
    <xf numFmtId="3" fontId="6" fillId="0" borderId="1" xfId="0" applyNumberFormat="1" applyFont="1" applyBorder="1"/>
    <xf numFmtId="3" fontId="6" fillId="0" borderId="0" xfId="0" applyNumberFormat="1" applyFont="1"/>
    <xf numFmtId="3" fontId="6" fillId="0" borderId="0" xfId="0" applyNumberFormat="1" applyFont="1" applyFill="1" applyBorder="1"/>
    <xf numFmtId="0" fontId="0" fillId="3" borderId="0" xfId="0" applyFill="1"/>
    <xf numFmtId="0" fontId="11" fillId="0" borderId="0" xfId="0" applyFont="1"/>
    <xf numFmtId="3" fontId="7" fillId="0" borderId="0" xfId="0" applyNumberFormat="1" applyFont="1" applyBorder="1"/>
    <xf numFmtId="0" fontId="0" fillId="0" borderId="1" xfId="0" applyBorder="1"/>
    <xf numFmtId="0" fontId="6" fillId="0" borderId="1" xfId="0" applyFont="1" applyBorder="1"/>
    <xf numFmtId="0" fontId="0" fillId="0" borderId="0" xfId="0"/>
    <xf numFmtId="0" fontId="0" fillId="0" borderId="0" xfId="0" applyBorder="1"/>
    <xf numFmtId="164" fontId="6" fillId="0" borderId="0" xfId="0" applyNumberFormat="1" applyFont="1"/>
    <xf numFmtId="164" fontId="6" fillId="0" borderId="1" xfId="0" applyNumberFormat="1" applyFont="1" applyBorder="1"/>
    <xf numFmtId="164" fontId="6" fillId="0" borderId="1" xfId="0" applyNumberFormat="1" applyFont="1" applyBorder="1" applyAlignment="1">
      <alignment horizontal="right"/>
    </xf>
    <xf numFmtId="164" fontId="6" fillId="0" borderId="0" xfId="0" applyNumberFormat="1" applyFont="1" applyBorder="1"/>
    <xf numFmtId="0" fontId="0" fillId="0" borderId="0" xfId="0" quotePrefix="1"/>
    <xf numFmtId="0" fontId="0" fillId="0" borderId="0" xfId="0" quotePrefix="1" applyBorder="1"/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/>
    <xf numFmtId="2" fontId="0" fillId="0" borderId="0" xfId="0" applyNumberFormat="1"/>
    <xf numFmtId="2" fontId="2" fillId="0" borderId="1" xfId="0" applyNumberFormat="1" applyFont="1" applyBorder="1" applyAlignment="1"/>
    <xf numFmtId="2" fontId="6" fillId="0" borderId="0" xfId="0" applyNumberFormat="1" applyFont="1"/>
    <xf numFmtId="2" fontId="6" fillId="0" borderId="0" xfId="0" applyNumberFormat="1" applyFont="1" applyBorder="1"/>
    <xf numFmtId="2" fontId="0" fillId="0" borderId="0" xfId="0" applyNumberFormat="1" applyBorder="1"/>
  </cellXfs>
  <cellStyles count="4">
    <cellStyle name="Millares" xfId="2" builtinId="3"/>
    <cellStyle name="Normal" xfId="0" builtinId="0"/>
    <cellStyle name="Normal 2" xfId="1"/>
    <cellStyle name="Porcentual 2" xfId="3"/>
  </cellStyles>
  <dxfs count="0"/>
  <tableStyles count="0" defaultTableStyle="TableStyleMedium2" defaultPivotStyle="PivotStyleLight16"/>
  <colors>
    <mruColors>
      <color rgb="FF2B4E61"/>
      <color rgb="FFFE6700"/>
      <color rgb="FF010000"/>
      <color rgb="FF00FFFF"/>
      <color rgb="FF800000"/>
      <color rgb="FF4F81BD"/>
      <color rgb="FFD3D3D3"/>
      <color rgb="FFFFFFFF"/>
      <color rgb="FFE8E8E8"/>
      <color rgb="FF996633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2400"/>
            </a:pPr>
            <a:r>
              <a:rPr lang="es-ES" sz="2400"/>
              <a:t>Mercado de Centros Comerciales</a:t>
            </a:r>
          </a:p>
          <a:p>
            <a:pPr>
              <a:defRPr sz="2400"/>
            </a:pPr>
            <a:r>
              <a:rPr lang="es-ES" sz="2000"/>
              <a:t>Rentabilidad de la inversión</a:t>
            </a:r>
          </a:p>
        </c:rich>
      </c:tx>
      <c:layout>
        <c:manualLayout>
          <c:xMode val="edge"/>
          <c:yMode val="edge"/>
          <c:x val="0.11782543443917852"/>
          <c:y val="2.116666666666667E-2"/>
        </c:manualLayout>
      </c:layout>
      <c:overlay val="1"/>
    </c:title>
    <c:plotArea>
      <c:layout>
        <c:manualLayout>
          <c:layoutTarget val="inner"/>
          <c:xMode val="edge"/>
          <c:yMode val="edge"/>
          <c:x val="9.6651658767772736E-2"/>
          <c:y val="4.3479722222222225E-2"/>
          <c:w val="0.88078264876250656"/>
          <c:h val="0.77289361111111288"/>
        </c:manualLayout>
      </c:layout>
      <c:lineChart>
        <c:grouping val="standard"/>
        <c:ser>
          <c:idx val="0"/>
          <c:order val="0"/>
          <c:spPr>
            <a:ln w="76200">
              <a:solidFill>
                <a:srgbClr val="FE6700"/>
              </a:solidFill>
            </a:ln>
          </c:spPr>
          <c:marker>
            <c:symbol val="none"/>
          </c:marker>
          <c:cat>
            <c:numRef>
              <c:f>'C.Comercial'!$B$5:$B$17</c:f>
              <c:numCache>
                <c:formatCode>General</c:formatCode>
                <c:ptCount val="13"/>
                <c:pt idx="0">
                  <c:v>2002</c:v>
                </c:pt>
                <c:pt idx="1">
                  <c:v>2003</c:v>
                </c:pt>
                <c:pt idx="2">
                  <c:v>2004</c:v>
                </c:pt>
                <c:pt idx="3">
                  <c:v>2005</c:v>
                </c:pt>
                <c:pt idx="4">
                  <c:v>2006</c:v>
                </c:pt>
                <c:pt idx="5">
                  <c:v>2007</c:v>
                </c:pt>
                <c:pt idx="6">
                  <c:v>2008</c:v>
                </c:pt>
                <c:pt idx="7">
                  <c:v>2009</c:v>
                </c:pt>
                <c:pt idx="8">
                  <c:v>2010</c:v>
                </c:pt>
                <c:pt idx="9">
                  <c:v>2011</c:v>
                </c:pt>
                <c:pt idx="10">
                  <c:v>2012</c:v>
                </c:pt>
                <c:pt idx="11">
                  <c:v>2013</c:v>
                </c:pt>
                <c:pt idx="12">
                  <c:v>2014</c:v>
                </c:pt>
              </c:numCache>
            </c:numRef>
          </c:cat>
          <c:val>
            <c:numRef>
              <c:f>'C.Comercial'!$C$5:$C$17</c:f>
              <c:numCache>
                <c:formatCode>0.00</c:formatCode>
                <c:ptCount val="13"/>
                <c:pt idx="0">
                  <c:v>6.5</c:v>
                </c:pt>
                <c:pt idx="1">
                  <c:v>6</c:v>
                </c:pt>
                <c:pt idx="2">
                  <c:v>6</c:v>
                </c:pt>
                <c:pt idx="3">
                  <c:v>5.25</c:v>
                </c:pt>
                <c:pt idx="4">
                  <c:v>4.5</c:v>
                </c:pt>
                <c:pt idx="5">
                  <c:v>4.3499999999999996</c:v>
                </c:pt>
                <c:pt idx="6">
                  <c:v>6</c:v>
                </c:pt>
                <c:pt idx="7">
                  <c:v>6.5</c:v>
                </c:pt>
                <c:pt idx="8">
                  <c:v>6.25</c:v>
                </c:pt>
                <c:pt idx="9">
                  <c:v>6</c:v>
                </c:pt>
                <c:pt idx="10">
                  <c:v>6.7</c:v>
                </c:pt>
                <c:pt idx="11">
                  <c:v>6.5</c:v>
                </c:pt>
                <c:pt idx="12">
                  <c:v>5</c:v>
                </c:pt>
              </c:numCache>
            </c:numRef>
          </c:val>
        </c:ser>
        <c:marker val="1"/>
        <c:axId val="138672768"/>
        <c:axId val="138728192"/>
      </c:lineChart>
      <c:catAx>
        <c:axId val="138672768"/>
        <c:scaling>
          <c:orientation val="minMax"/>
        </c:scaling>
        <c:axPos val="b"/>
        <c:numFmt formatCode="General" sourceLinked="1"/>
        <c:tickLblPos val="low"/>
        <c:txPr>
          <a:bodyPr rot="0" vert="horz"/>
          <a:lstStyle/>
          <a:p>
            <a:pPr>
              <a:defRPr sz="1200" b="1"/>
            </a:pPr>
            <a:endParaRPr lang="es-ES"/>
          </a:p>
        </c:txPr>
        <c:crossAx val="138728192"/>
        <c:crosses val="autoZero"/>
        <c:lblAlgn val="ctr"/>
        <c:lblOffset val="100"/>
        <c:tickLblSkip val="1"/>
        <c:tickMarkSkip val="1"/>
      </c:catAx>
      <c:valAx>
        <c:axId val="138728192"/>
        <c:scaling>
          <c:orientation val="minMax"/>
          <c:max val="7.5"/>
          <c:min val="4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s-ES" sz="1200"/>
                  <a:t>%</a:t>
                </a:r>
              </a:p>
            </c:rich>
          </c:tx>
          <c:layout>
            <c:manualLayout>
              <c:xMode val="edge"/>
              <c:yMode val="edge"/>
              <c:x val="6.6877303844128742E-3"/>
              <c:y val="0.4271572222222223"/>
            </c:manualLayout>
          </c:layout>
        </c:title>
        <c:numFmt formatCode="#,##0.0" sourceLinked="0"/>
        <c:tickLblPos val="nextTo"/>
        <c:txPr>
          <a:bodyPr/>
          <a:lstStyle/>
          <a:p>
            <a:pPr>
              <a:defRPr sz="1200" b="1"/>
            </a:pPr>
            <a:endParaRPr lang="es-ES"/>
          </a:p>
        </c:txPr>
        <c:crossAx val="138672768"/>
        <c:crosses val="autoZero"/>
        <c:crossBetween val="between"/>
        <c:minorUnit val="0.5"/>
      </c:valAx>
      <c:spPr>
        <a:noFill/>
      </c:spPr>
    </c:plotArea>
    <c:plotVisOnly val="1"/>
  </c:chart>
  <c:spPr>
    <a:noFill/>
    <a:ln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>
        <c:manualLayout>
          <c:layoutTarget val="inner"/>
          <c:xMode val="edge"/>
          <c:yMode val="edge"/>
          <c:x val="9.6664372177359764E-2"/>
          <c:y val="0.12797195322451857"/>
          <c:w val="0.81838444444444469"/>
          <c:h val="0.71159694444444443"/>
        </c:manualLayout>
      </c:layout>
      <c:barChart>
        <c:barDir val="col"/>
        <c:grouping val="clustered"/>
        <c:ser>
          <c:idx val="0"/>
          <c:order val="3"/>
          <c:tx>
            <c:strRef>
              <c:f>'Viviendas 1'!$E$2</c:f>
              <c:strCache>
                <c:ptCount val="1"/>
                <c:pt idx="0">
                  <c:v>stock</c:v>
                </c:pt>
              </c:strCache>
            </c:strRef>
          </c:tx>
          <c:cat>
            <c:numRef>
              <c:f>'Viviendas 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'Viviendas 1'!$E$3:$E$33</c:f>
              <c:numCache>
                <c:formatCode>#,##0</c:formatCode>
                <c:ptCount val="31"/>
                <c:pt idx="21">
                  <c:v>73555</c:v>
                </c:pt>
                <c:pt idx="22">
                  <c:v>358522</c:v>
                </c:pt>
                <c:pt idx="23">
                  <c:v>691637</c:v>
                </c:pt>
                <c:pt idx="24">
                  <c:v>875606</c:v>
                </c:pt>
                <c:pt idx="25">
                  <c:v>931615</c:v>
                </c:pt>
                <c:pt idx="26">
                  <c:v>924266</c:v>
                </c:pt>
                <c:pt idx="27">
                  <c:v>872697</c:v>
                </c:pt>
                <c:pt idx="28">
                  <c:v>778152</c:v>
                </c:pt>
                <c:pt idx="29">
                  <c:v>739244</c:v>
                </c:pt>
              </c:numCache>
            </c:numRef>
          </c:val>
        </c:ser>
        <c:axId val="138872704"/>
        <c:axId val="138874240"/>
      </c:barChart>
      <c:lineChart>
        <c:grouping val="standard"/>
        <c:ser>
          <c:idx val="1"/>
          <c:order val="0"/>
          <c:tx>
            <c:strRef>
              <c:f>'Viviendas 1'!$B$2</c:f>
              <c:strCache>
                <c:ptCount val="1"/>
                <c:pt idx="0">
                  <c:v>proyectadas</c:v>
                </c:pt>
              </c:strCache>
            </c:strRef>
          </c:tx>
          <c:spPr>
            <a:ln w="76200">
              <a:solidFill>
                <a:srgbClr val="FE6700"/>
              </a:solidFill>
            </a:ln>
          </c:spPr>
          <c:marker>
            <c:symbol val="none"/>
          </c:marker>
          <c:cat>
            <c:numRef>
              <c:f>'Viviendas 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'Viviendas 1'!$B$3:$B$33</c:f>
              <c:numCache>
                <c:formatCode>#,##0</c:formatCode>
                <c:ptCount val="31"/>
                <c:pt idx="0">
                  <c:v>233600</c:v>
                </c:pt>
                <c:pt idx="1">
                  <c:v>233000</c:v>
                </c:pt>
                <c:pt idx="2">
                  <c:v>346400</c:v>
                </c:pt>
                <c:pt idx="3">
                  <c:v>383800</c:v>
                </c:pt>
                <c:pt idx="4">
                  <c:v>387800</c:v>
                </c:pt>
                <c:pt idx="5">
                  <c:v>275300</c:v>
                </c:pt>
                <c:pt idx="6">
                  <c:v>248400</c:v>
                </c:pt>
                <c:pt idx="7">
                  <c:v>264700</c:v>
                </c:pt>
                <c:pt idx="8">
                  <c:v>234100</c:v>
                </c:pt>
                <c:pt idx="9">
                  <c:v>295000</c:v>
                </c:pt>
                <c:pt idx="10">
                  <c:v>352600</c:v>
                </c:pt>
                <c:pt idx="11">
                  <c:v>319500</c:v>
                </c:pt>
                <c:pt idx="12">
                  <c:v>346000</c:v>
                </c:pt>
                <c:pt idx="13">
                  <c:v>460800</c:v>
                </c:pt>
                <c:pt idx="14">
                  <c:v>561300</c:v>
                </c:pt>
                <c:pt idx="15">
                  <c:v>578400</c:v>
                </c:pt>
                <c:pt idx="16">
                  <c:v>564300</c:v>
                </c:pt>
                <c:pt idx="17">
                  <c:v>560100</c:v>
                </c:pt>
                <c:pt idx="18">
                  <c:v>609300</c:v>
                </c:pt>
                <c:pt idx="19">
                  <c:v>647600</c:v>
                </c:pt>
                <c:pt idx="20">
                  <c:v>667500</c:v>
                </c:pt>
                <c:pt idx="21">
                  <c:v>820100</c:v>
                </c:pt>
                <c:pt idx="22">
                  <c:v>667300</c:v>
                </c:pt>
                <c:pt idx="23">
                  <c:v>232000</c:v>
                </c:pt>
                <c:pt idx="24">
                  <c:v>110800</c:v>
                </c:pt>
                <c:pt idx="25">
                  <c:v>83100</c:v>
                </c:pt>
                <c:pt idx="26">
                  <c:v>109800</c:v>
                </c:pt>
                <c:pt idx="27">
                  <c:v>71100</c:v>
                </c:pt>
                <c:pt idx="28">
                  <c:v>57800</c:v>
                </c:pt>
                <c:pt idx="29">
                  <c:v>58800</c:v>
                </c:pt>
              </c:numCache>
            </c:numRef>
          </c:val>
          <c:smooth val="1"/>
        </c:ser>
        <c:ser>
          <c:idx val="2"/>
          <c:order val="1"/>
          <c:tx>
            <c:strRef>
              <c:f>'Viviendas 1'!$C$2</c:f>
              <c:strCache>
                <c:ptCount val="1"/>
                <c:pt idx="0">
                  <c:v>terminadas</c:v>
                </c:pt>
              </c:strCache>
            </c:strRef>
          </c:tx>
          <c:spPr>
            <a:ln w="76200">
              <a:solidFill>
                <a:srgbClr val="800000"/>
              </a:solidFill>
            </a:ln>
          </c:spPr>
          <c:marker>
            <c:symbol val="none"/>
          </c:marker>
          <c:cat>
            <c:numRef>
              <c:f>'Viviendas 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'Viviendas 1'!$C$3:$C$33</c:f>
              <c:numCache>
                <c:formatCode>#,##0</c:formatCode>
                <c:ptCount val="31"/>
                <c:pt idx="0">
                  <c:v>191400</c:v>
                </c:pt>
                <c:pt idx="1">
                  <c:v>195200</c:v>
                </c:pt>
                <c:pt idx="2">
                  <c:v>202600</c:v>
                </c:pt>
                <c:pt idx="3">
                  <c:v>239500</c:v>
                </c:pt>
                <c:pt idx="4">
                  <c:v>236600</c:v>
                </c:pt>
                <c:pt idx="5">
                  <c:v>281100</c:v>
                </c:pt>
                <c:pt idx="6">
                  <c:v>271600</c:v>
                </c:pt>
                <c:pt idx="7">
                  <c:v>219600</c:v>
                </c:pt>
                <c:pt idx="8">
                  <c:v>217500</c:v>
                </c:pt>
                <c:pt idx="9">
                  <c:v>223500</c:v>
                </c:pt>
                <c:pt idx="10">
                  <c:v>208100</c:v>
                </c:pt>
                <c:pt idx="11">
                  <c:v>248600</c:v>
                </c:pt>
                <c:pt idx="12">
                  <c:v>286000</c:v>
                </c:pt>
                <c:pt idx="13">
                  <c:v>297900</c:v>
                </c:pt>
                <c:pt idx="14">
                  <c:v>356100</c:v>
                </c:pt>
                <c:pt idx="15">
                  <c:v>415800</c:v>
                </c:pt>
                <c:pt idx="16">
                  <c:v>498700</c:v>
                </c:pt>
                <c:pt idx="17">
                  <c:v>426700</c:v>
                </c:pt>
                <c:pt idx="18">
                  <c:v>448000</c:v>
                </c:pt>
                <c:pt idx="19">
                  <c:v>488700</c:v>
                </c:pt>
                <c:pt idx="20">
                  <c:v>522600</c:v>
                </c:pt>
                <c:pt idx="21">
                  <c:v>584500</c:v>
                </c:pt>
                <c:pt idx="22">
                  <c:v>637400</c:v>
                </c:pt>
                <c:pt idx="23">
                  <c:v>631400</c:v>
                </c:pt>
                <c:pt idx="24">
                  <c:v>387600</c:v>
                </c:pt>
                <c:pt idx="25">
                  <c:v>196500</c:v>
                </c:pt>
                <c:pt idx="26">
                  <c:v>233100</c:v>
                </c:pt>
                <c:pt idx="27">
                  <c:v>117800</c:v>
                </c:pt>
                <c:pt idx="28">
                  <c:v>73700</c:v>
                </c:pt>
                <c:pt idx="29">
                  <c:v>45800</c:v>
                </c:pt>
              </c:numCache>
            </c:numRef>
          </c:val>
          <c:smooth val="1"/>
        </c:ser>
        <c:ser>
          <c:idx val="3"/>
          <c:order val="2"/>
          <c:tx>
            <c:strRef>
              <c:f>'Viviendas 1'!$D$2</c:f>
              <c:strCache>
                <c:ptCount val="1"/>
                <c:pt idx="0">
                  <c:v> iniciadas</c:v>
                </c:pt>
              </c:strCache>
            </c:strRef>
          </c:tx>
          <c:spPr>
            <a:ln w="76200">
              <a:solidFill>
                <a:srgbClr val="00FFFF"/>
              </a:solidFill>
            </a:ln>
          </c:spPr>
          <c:marker>
            <c:symbol val="none"/>
          </c:marker>
          <c:cat>
            <c:numRef>
              <c:f>'Viviendas 1'!$A$3:$A$33</c:f>
              <c:numCache>
                <c:formatCode>General</c:formatCode>
                <c:ptCount val="31"/>
                <c:pt idx="0">
                  <c:v>1985</c:v>
                </c:pt>
                <c:pt idx="1">
                  <c:v>1986</c:v>
                </c:pt>
                <c:pt idx="2">
                  <c:v>1987</c:v>
                </c:pt>
                <c:pt idx="3">
                  <c:v>1988</c:v>
                </c:pt>
                <c:pt idx="4">
                  <c:v>1989</c:v>
                </c:pt>
                <c:pt idx="5">
                  <c:v>1990</c:v>
                </c:pt>
                <c:pt idx="6">
                  <c:v>1991</c:v>
                </c:pt>
                <c:pt idx="7">
                  <c:v>1992</c:v>
                </c:pt>
                <c:pt idx="8">
                  <c:v>1993</c:v>
                </c:pt>
                <c:pt idx="9">
                  <c:v>1994</c:v>
                </c:pt>
                <c:pt idx="10">
                  <c:v>1995</c:v>
                </c:pt>
                <c:pt idx="11">
                  <c:v>1996</c:v>
                </c:pt>
                <c:pt idx="12">
                  <c:v>1997</c:v>
                </c:pt>
                <c:pt idx="13">
                  <c:v>1998</c:v>
                </c:pt>
                <c:pt idx="14">
                  <c:v>1999</c:v>
                </c:pt>
                <c:pt idx="15">
                  <c:v>2000</c:v>
                </c:pt>
                <c:pt idx="16">
                  <c:v>2001</c:v>
                </c:pt>
                <c:pt idx="17">
                  <c:v>2002</c:v>
                </c:pt>
                <c:pt idx="18">
                  <c:v>2003</c:v>
                </c:pt>
                <c:pt idx="19">
                  <c:v>2004</c:v>
                </c:pt>
                <c:pt idx="20">
                  <c:v>2005</c:v>
                </c:pt>
                <c:pt idx="21">
                  <c:v>2006</c:v>
                </c:pt>
                <c:pt idx="22">
                  <c:v>2007</c:v>
                </c:pt>
                <c:pt idx="23">
                  <c:v>2008</c:v>
                </c:pt>
                <c:pt idx="24">
                  <c:v>2009</c:v>
                </c:pt>
                <c:pt idx="25">
                  <c:v>2010</c:v>
                </c:pt>
                <c:pt idx="26">
                  <c:v>2011</c:v>
                </c:pt>
                <c:pt idx="27">
                  <c:v>2012</c:v>
                </c:pt>
                <c:pt idx="28">
                  <c:v>2013</c:v>
                </c:pt>
                <c:pt idx="29">
                  <c:v>2014</c:v>
                </c:pt>
                <c:pt idx="30">
                  <c:v>2015</c:v>
                </c:pt>
              </c:numCache>
            </c:numRef>
          </c:cat>
          <c:val>
            <c:numRef>
              <c:f>'Viviendas 1'!$D$3:$D$33</c:f>
              <c:numCache>
                <c:formatCode>#,##0</c:formatCode>
                <c:ptCount val="31"/>
                <c:pt idx="0">
                  <c:v>222300</c:v>
                </c:pt>
                <c:pt idx="1">
                  <c:v>214600</c:v>
                </c:pt>
                <c:pt idx="2">
                  <c:v>251800</c:v>
                </c:pt>
                <c:pt idx="3">
                  <c:v>269100</c:v>
                </c:pt>
                <c:pt idx="4">
                  <c:v>283300</c:v>
                </c:pt>
                <c:pt idx="5">
                  <c:v>239400</c:v>
                </c:pt>
                <c:pt idx="6">
                  <c:v>201400</c:v>
                </c:pt>
                <c:pt idx="7">
                  <c:v>206100</c:v>
                </c:pt>
                <c:pt idx="8">
                  <c:v>189100</c:v>
                </c:pt>
                <c:pt idx="9">
                  <c:v>222900</c:v>
                </c:pt>
                <c:pt idx="10">
                  <c:v>284100</c:v>
                </c:pt>
                <c:pt idx="11">
                  <c:v>268300</c:v>
                </c:pt>
                <c:pt idx="12">
                  <c:v>287400</c:v>
                </c:pt>
                <c:pt idx="13">
                  <c:v>407400</c:v>
                </c:pt>
                <c:pt idx="14">
                  <c:v>510600</c:v>
                </c:pt>
                <c:pt idx="15">
                  <c:v>535700</c:v>
                </c:pt>
                <c:pt idx="16">
                  <c:v>524600</c:v>
                </c:pt>
                <c:pt idx="17">
                  <c:v>524200</c:v>
                </c:pt>
                <c:pt idx="18">
                  <c:v>625400</c:v>
                </c:pt>
                <c:pt idx="19">
                  <c:v>636300</c:v>
                </c:pt>
                <c:pt idx="20">
                  <c:v>735100</c:v>
                </c:pt>
                <c:pt idx="21">
                  <c:v>798700</c:v>
                </c:pt>
                <c:pt idx="22">
                  <c:v>759900</c:v>
                </c:pt>
                <c:pt idx="23">
                  <c:v>285100</c:v>
                </c:pt>
                <c:pt idx="24">
                  <c:v>110800</c:v>
                </c:pt>
                <c:pt idx="25">
                  <c:v>83100</c:v>
                </c:pt>
                <c:pt idx="26">
                  <c:v>91400</c:v>
                </c:pt>
                <c:pt idx="27">
                  <c:v>46000</c:v>
                </c:pt>
                <c:pt idx="28">
                  <c:v>35200</c:v>
                </c:pt>
                <c:pt idx="29">
                  <c:v>35800</c:v>
                </c:pt>
              </c:numCache>
            </c:numRef>
          </c:val>
          <c:smooth val="1"/>
        </c:ser>
        <c:marker val="1"/>
        <c:axId val="138872704"/>
        <c:axId val="138874240"/>
      </c:lineChart>
      <c:catAx>
        <c:axId val="138872704"/>
        <c:scaling>
          <c:orientation val="minMax"/>
        </c:scaling>
        <c:axPos val="b"/>
        <c:numFmt formatCode="General" sourceLinked="1"/>
        <c:tickLblPos val="nextTo"/>
        <c:txPr>
          <a:bodyPr rot="0"/>
          <a:lstStyle/>
          <a:p>
            <a:pPr>
              <a:defRPr sz="1600" b="1" baseline="0"/>
            </a:pPr>
            <a:endParaRPr lang="es-ES"/>
          </a:p>
        </c:txPr>
        <c:crossAx val="138874240"/>
        <c:crosses val="autoZero"/>
        <c:auto val="1"/>
        <c:lblAlgn val="ctr"/>
        <c:lblOffset val="100"/>
        <c:tickLblSkip val="5"/>
      </c:catAx>
      <c:valAx>
        <c:axId val="138874240"/>
        <c:scaling>
          <c:orientation val="minMax"/>
        </c:scaling>
        <c:axPos val="l"/>
        <c:numFmt formatCode="#,##0" sourceLinked="1"/>
        <c:tickLblPos val="nextTo"/>
        <c:txPr>
          <a:bodyPr/>
          <a:lstStyle/>
          <a:p>
            <a:pPr>
              <a:defRPr sz="1200" baseline="0"/>
            </a:pPr>
            <a:endParaRPr lang="es-ES"/>
          </a:p>
        </c:txPr>
        <c:crossAx val="138872704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1920876730552222"/>
          <c:y val="0.15226225636291194"/>
          <c:w val="0.18557525724727644"/>
          <c:h val="0.26089168149366532"/>
        </c:manualLayout>
      </c:layout>
      <c:txPr>
        <a:bodyPr/>
        <a:lstStyle/>
        <a:p>
          <a:pPr>
            <a:defRPr sz="1600" b="1" baseline="0"/>
          </a:pPr>
          <a:endParaRPr lang="es-ES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 sz="2000" baseline="0">
          <a:solidFill>
            <a:schemeClr val="bg1"/>
          </a:solidFill>
        </a:defRPr>
      </a:pPr>
      <a:endParaRPr lang="es-ES"/>
    </a:p>
  </c:txPr>
  <c:printSettings>
    <c:headerFooter/>
    <c:pageMargins b="0.75000000000000389" l="0.70000000000000062" r="0.70000000000000062" t="0.75000000000000389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2400">
                <a:solidFill>
                  <a:schemeClr val="bg1"/>
                </a:solidFill>
              </a:defRPr>
            </a:pPr>
            <a:r>
              <a:rPr lang="es-ES" sz="2400">
                <a:solidFill>
                  <a:schemeClr val="bg1"/>
                </a:solidFill>
              </a:rPr>
              <a:t>Mercado de Vivienda Residencial</a:t>
            </a:r>
          </a:p>
          <a:p>
            <a:pPr>
              <a:defRPr sz="2400">
                <a:solidFill>
                  <a:schemeClr val="bg1"/>
                </a:solidFill>
              </a:defRPr>
            </a:pPr>
            <a:r>
              <a:rPr lang="es-ES" sz="2000">
                <a:solidFill>
                  <a:schemeClr val="bg1"/>
                </a:solidFill>
              </a:rPr>
              <a:t>Evolución del Precio</a:t>
            </a:r>
          </a:p>
        </c:rich>
      </c:tx>
      <c:layout>
        <c:manualLayout>
          <c:xMode val="edge"/>
          <c:yMode val="edge"/>
          <c:x val="0.42439547130068622"/>
          <c:y val="0"/>
        </c:manualLayout>
      </c:layout>
      <c:overlay val="1"/>
      <c:spPr>
        <a:noFill/>
      </c:spPr>
    </c:title>
    <c:plotArea>
      <c:layout>
        <c:manualLayout>
          <c:layoutTarget val="inner"/>
          <c:xMode val="edge"/>
          <c:yMode val="edge"/>
          <c:x val="0.11882991047919959"/>
          <c:y val="4.3104984252183266E-2"/>
          <c:w val="0.84704186413902172"/>
          <c:h val="0.68575387802209564"/>
        </c:manualLayout>
      </c:layout>
      <c:lineChart>
        <c:grouping val="standard"/>
        <c:ser>
          <c:idx val="0"/>
          <c:order val="0"/>
          <c:spPr>
            <a:ln w="76200">
              <a:solidFill>
                <a:srgbClr val="FE6700"/>
              </a:solidFill>
            </a:ln>
          </c:spPr>
          <c:marker>
            <c:symbol val="none"/>
          </c:marker>
          <c:cat>
            <c:numRef>
              <c:f>'Viviendas 1'!$U$3:$U$116</c:f>
              <c:numCache>
                <c:formatCode>dd/mm/yyyy</c:formatCode>
                <c:ptCount val="114"/>
                <c:pt idx="0">
                  <c:v>38596</c:v>
                </c:pt>
                <c:pt idx="1">
                  <c:v>38626</c:v>
                </c:pt>
                <c:pt idx="2">
                  <c:v>38657</c:v>
                </c:pt>
                <c:pt idx="3">
                  <c:v>38687</c:v>
                </c:pt>
                <c:pt idx="4">
                  <c:v>38718</c:v>
                </c:pt>
                <c:pt idx="5">
                  <c:v>38749</c:v>
                </c:pt>
                <c:pt idx="6">
                  <c:v>38777</c:v>
                </c:pt>
                <c:pt idx="7">
                  <c:v>38808</c:v>
                </c:pt>
                <c:pt idx="8">
                  <c:v>38838</c:v>
                </c:pt>
                <c:pt idx="9">
                  <c:v>38869</c:v>
                </c:pt>
                <c:pt idx="10">
                  <c:v>38899</c:v>
                </c:pt>
                <c:pt idx="11">
                  <c:v>38930</c:v>
                </c:pt>
                <c:pt idx="12">
                  <c:v>38961</c:v>
                </c:pt>
                <c:pt idx="13">
                  <c:v>38991</c:v>
                </c:pt>
                <c:pt idx="14">
                  <c:v>39022</c:v>
                </c:pt>
                <c:pt idx="15">
                  <c:v>39052</c:v>
                </c:pt>
                <c:pt idx="16">
                  <c:v>39083</c:v>
                </c:pt>
                <c:pt idx="17">
                  <c:v>39114</c:v>
                </c:pt>
                <c:pt idx="18">
                  <c:v>39142</c:v>
                </c:pt>
                <c:pt idx="19">
                  <c:v>39173</c:v>
                </c:pt>
                <c:pt idx="20">
                  <c:v>39203</c:v>
                </c:pt>
                <c:pt idx="21">
                  <c:v>39234</c:v>
                </c:pt>
                <c:pt idx="22">
                  <c:v>39264</c:v>
                </c:pt>
                <c:pt idx="23">
                  <c:v>39295</c:v>
                </c:pt>
                <c:pt idx="24">
                  <c:v>39326</c:v>
                </c:pt>
                <c:pt idx="25">
                  <c:v>39356</c:v>
                </c:pt>
                <c:pt idx="26">
                  <c:v>39387</c:v>
                </c:pt>
                <c:pt idx="27">
                  <c:v>39417</c:v>
                </c:pt>
                <c:pt idx="28">
                  <c:v>39448</c:v>
                </c:pt>
                <c:pt idx="29">
                  <c:v>39479</c:v>
                </c:pt>
                <c:pt idx="30">
                  <c:v>39508</c:v>
                </c:pt>
                <c:pt idx="31">
                  <c:v>39539</c:v>
                </c:pt>
                <c:pt idx="32">
                  <c:v>39569</c:v>
                </c:pt>
                <c:pt idx="33">
                  <c:v>39600</c:v>
                </c:pt>
                <c:pt idx="34">
                  <c:v>39630</c:v>
                </c:pt>
                <c:pt idx="35">
                  <c:v>39661</c:v>
                </c:pt>
                <c:pt idx="36">
                  <c:v>39692</c:v>
                </c:pt>
                <c:pt idx="37">
                  <c:v>39722</c:v>
                </c:pt>
                <c:pt idx="38">
                  <c:v>39753</c:v>
                </c:pt>
                <c:pt idx="39">
                  <c:v>39783</c:v>
                </c:pt>
                <c:pt idx="40">
                  <c:v>39814</c:v>
                </c:pt>
                <c:pt idx="41">
                  <c:v>39845</c:v>
                </c:pt>
                <c:pt idx="42">
                  <c:v>39873</c:v>
                </c:pt>
                <c:pt idx="43">
                  <c:v>39904</c:v>
                </c:pt>
                <c:pt idx="44">
                  <c:v>39934</c:v>
                </c:pt>
                <c:pt idx="45">
                  <c:v>39965</c:v>
                </c:pt>
                <c:pt idx="46">
                  <c:v>39995</c:v>
                </c:pt>
                <c:pt idx="47">
                  <c:v>40026</c:v>
                </c:pt>
                <c:pt idx="48">
                  <c:v>40057</c:v>
                </c:pt>
                <c:pt idx="49">
                  <c:v>40087</c:v>
                </c:pt>
                <c:pt idx="50">
                  <c:v>40118</c:v>
                </c:pt>
                <c:pt idx="51">
                  <c:v>40148</c:v>
                </c:pt>
                <c:pt idx="52">
                  <c:v>40179</c:v>
                </c:pt>
                <c:pt idx="53">
                  <c:v>40210</c:v>
                </c:pt>
                <c:pt idx="54">
                  <c:v>40238</c:v>
                </c:pt>
                <c:pt idx="55">
                  <c:v>40269</c:v>
                </c:pt>
                <c:pt idx="56">
                  <c:v>40299</c:v>
                </c:pt>
                <c:pt idx="57">
                  <c:v>40330</c:v>
                </c:pt>
                <c:pt idx="58">
                  <c:v>40360</c:v>
                </c:pt>
                <c:pt idx="59">
                  <c:v>40391</c:v>
                </c:pt>
                <c:pt idx="60">
                  <c:v>40422</c:v>
                </c:pt>
                <c:pt idx="61">
                  <c:v>40452</c:v>
                </c:pt>
                <c:pt idx="62">
                  <c:v>40483</c:v>
                </c:pt>
                <c:pt idx="63">
                  <c:v>40513</c:v>
                </c:pt>
                <c:pt idx="64">
                  <c:v>40544</c:v>
                </c:pt>
                <c:pt idx="65">
                  <c:v>40575</c:v>
                </c:pt>
                <c:pt idx="66">
                  <c:v>40603</c:v>
                </c:pt>
                <c:pt idx="67">
                  <c:v>40634</c:v>
                </c:pt>
                <c:pt idx="68">
                  <c:v>40664</c:v>
                </c:pt>
                <c:pt idx="69">
                  <c:v>40695</c:v>
                </c:pt>
                <c:pt idx="70">
                  <c:v>40725</c:v>
                </c:pt>
                <c:pt idx="71">
                  <c:v>40756</c:v>
                </c:pt>
                <c:pt idx="72">
                  <c:v>40787</c:v>
                </c:pt>
                <c:pt idx="73">
                  <c:v>40817</c:v>
                </c:pt>
                <c:pt idx="74">
                  <c:v>40848</c:v>
                </c:pt>
                <c:pt idx="75">
                  <c:v>40878</c:v>
                </c:pt>
                <c:pt idx="76">
                  <c:v>40909</c:v>
                </c:pt>
                <c:pt idx="77">
                  <c:v>40940</c:v>
                </c:pt>
                <c:pt idx="78">
                  <c:v>40969</c:v>
                </c:pt>
                <c:pt idx="79">
                  <c:v>41000</c:v>
                </c:pt>
                <c:pt idx="80">
                  <c:v>41030</c:v>
                </c:pt>
                <c:pt idx="81">
                  <c:v>41061</c:v>
                </c:pt>
                <c:pt idx="82">
                  <c:v>41091</c:v>
                </c:pt>
                <c:pt idx="83">
                  <c:v>41122</c:v>
                </c:pt>
                <c:pt idx="84">
                  <c:v>41153</c:v>
                </c:pt>
                <c:pt idx="85">
                  <c:v>41183</c:v>
                </c:pt>
                <c:pt idx="86">
                  <c:v>41214</c:v>
                </c:pt>
                <c:pt idx="87">
                  <c:v>41244</c:v>
                </c:pt>
                <c:pt idx="88">
                  <c:v>41275</c:v>
                </c:pt>
                <c:pt idx="89">
                  <c:v>41306</c:v>
                </c:pt>
                <c:pt idx="90">
                  <c:v>41334</c:v>
                </c:pt>
                <c:pt idx="91">
                  <c:v>41365</c:v>
                </c:pt>
                <c:pt idx="92">
                  <c:v>41395</c:v>
                </c:pt>
                <c:pt idx="93">
                  <c:v>41426</c:v>
                </c:pt>
                <c:pt idx="94">
                  <c:v>41456</c:v>
                </c:pt>
                <c:pt idx="95">
                  <c:v>41487</c:v>
                </c:pt>
                <c:pt idx="96">
                  <c:v>41518</c:v>
                </c:pt>
                <c:pt idx="97">
                  <c:v>41548</c:v>
                </c:pt>
                <c:pt idx="98">
                  <c:v>41579</c:v>
                </c:pt>
                <c:pt idx="99">
                  <c:v>41609</c:v>
                </c:pt>
                <c:pt idx="100">
                  <c:v>41640</c:v>
                </c:pt>
                <c:pt idx="101">
                  <c:v>41671</c:v>
                </c:pt>
                <c:pt idx="102">
                  <c:v>41699</c:v>
                </c:pt>
                <c:pt idx="103">
                  <c:v>41730</c:v>
                </c:pt>
                <c:pt idx="104">
                  <c:v>41760</c:v>
                </c:pt>
                <c:pt idx="105">
                  <c:v>41791</c:v>
                </c:pt>
                <c:pt idx="106">
                  <c:v>41821</c:v>
                </c:pt>
                <c:pt idx="107">
                  <c:v>41852</c:v>
                </c:pt>
                <c:pt idx="108">
                  <c:v>41883</c:v>
                </c:pt>
                <c:pt idx="109">
                  <c:v>41913</c:v>
                </c:pt>
                <c:pt idx="110">
                  <c:v>41944</c:v>
                </c:pt>
                <c:pt idx="111">
                  <c:v>41974</c:v>
                </c:pt>
                <c:pt idx="112">
                  <c:v>42005</c:v>
                </c:pt>
                <c:pt idx="113">
                  <c:v>42005</c:v>
                </c:pt>
              </c:numCache>
            </c:numRef>
          </c:cat>
          <c:val>
            <c:numRef>
              <c:f>'Viviendas 1'!$V$3:$V$116</c:f>
              <c:numCache>
                <c:formatCode>#,##0</c:formatCode>
                <c:ptCount val="114"/>
                <c:pt idx="0">
                  <c:v>2233</c:v>
                </c:pt>
                <c:pt idx="1">
                  <c:v>2273</c:v>
                </c:pt>
                <c:pt idx="2">
                  <c:v>2314</c:v>
                </c:pt>
                <c:pt idx="3">
                  <c:v>2329</c:v>
                </c:pt>
                <c:pt idx="4">
                  <c:v>2342</c:v>
                </c:pt>
                <c:pt idx="5">
                  <c:v>2363</c:v>
                </c:pt>
                <c:pt idx="6">
                  <c:v>2379</c:v>
                </c:pt>
                <c:pt idx="7">
                  <c:v>2394</c:v>
                </c:pt>
                <c:pt idx="8">
                  <c:v>2400</c:v>
                </c:pt>
                <c:pt idx="9">
                  <c:v>2409</c:v>
                </c:pt>
                <c:pt idx="10">
                  <c:v>2423</c:v>
                </c:pt>
                <c:pt idx="11">
                  <c:v>2437</c:v>
                </c:pt>
                <c:pt idx="12">
                  <c:v>2444</c:v>
                </c:pt>
                <c:pt idx="13">
                  <c:v>2451</c:v>
                </c:pt>
                <c:pt idx="14">
                  <c:v>2455</c:v>
                </c:pt>
                <c:pt idx="15">
                  <c:v>2470</c:v>
                </c:pt>
                <c:pt idx="16">
                  <c:v>2473</c:v>
                </c:pt>
                <c:pt idx="17">
                  <c:v>2479</c:v>
                </c:pt>
                <c:pt idx="18">
                  <c:v>2493</c:v>
                </c:pt>
                <c:pt idx="19">
                  <c:v>2500</c:v>
                </c:pt>
                <c:pt idx="20">
                  <c:v>2508</c:v>
                </c:pt>
                <c:pt idx="21">
                  <c:v>2517</c:v>
                </c:pt>
                <c:pt idx="22">
                  <c:v>2521</c:v>
                </c:pt>
                <c:pt idx="23">
                  <c:v>2512</c:v>
                </c:pt>
                <c:pt idx="24">
                  <c:v>2511</c:v>
                </c:pt>
                <c:pt idx="25">
                  <c:v>2503</c:v>
                </c:pt>
                <c:pt idx="26">
                  <c:v>2493</c:v>
                </c:pt>
                <c:pt idx="27">
                  <c:v>2476</c:v>
                </c:pt>
                <c:pt idx="28">
                  <c:v>2466</c:v>
                </c:pt>
                <c:pt idx="29">
                  <c:v>2442</c:v>
                </c:pt>
                <c:pt idx="30">
                  <c:v>2435</c:v>
                </c:pt>
                <c:pt idx="31">
                  <c:v>2425</c:v>
                </c:pt>
                <c:pt idx="32">
                  <c:v>2401</c:v>
                </c:pt>
                <c:pt idx="33">
                  <c:v>2376</c:v>
                </c:pt>
                <c:pt idx="34">
                  <c:v>2360</c:v>
                </c:pt>
                <c:pt idx="35">
                  <c:v>2350</c:v>
                </c:pt>
                <c:pt idx="36">
                  <c:v>2340</c:v>
                </c:pt>
                <c:pt idx="37">
                  <c:v>2323</c:v>
                </c:pt>
                <c:pt idx="38">
                  <c:v>2304</c:v>
                </c:pt>
                <c:pt idx="39">
                  <c:v>2292</c:v>
                </c:pt>
                <c:pt idx="40">
                  <c:v>2278</c:v>
                </c:pt>
                <c:pt idx="41">
                  <c:v>2264</c:v>
                </c:pt>
                <c:pt idx="42">
                  <c:v>2239</c:v>
                </c:pt>
                <c:pt idx="43">
                  <c:v>2215</c:v>
                </c:pt>
                <c:pt idx="44">
                  <c:v>2206</c:v>
                </c:pt>
                <c:pt idx="45">
                  <c:v>2196</c:v>
                </c:pt>
                <c:pt idx="46">
                  <c:v>2183</c:v>
                </c:pt>
                <c:pt idx="47">
                  <c:v>2178</c:v>
                </c:pt>
                <c:pt idx="48">
                  <c:v>2173</c:v>
                </c:pt>
                <c:pt idx="49">
                  <c:v>2164</c:v>
                </c:pt>
                <c:pt idx="50">
                  <c:v>2156</c:v>
                </c:pt>
                <c:pt idx="51">
                  <c:v>2140</c:v>
                </c:pt>
                <c:pt idx="52">
                  <c:v>2141</c:v>
                </c:pt>
                <c:pt idx="53">
                  <c:v>2134</c:v>
                </c:pt>
                <c:pt idx="54">
                  <c:v>2115</c:v>
                </c:pt>
                <c:pt idx="55">
                  <c:v>2101</c:v>
                </c:pt>
                <c:pt idx="56">
                  <c:v>2097</c:v>
                </c:pt>
                <c:pt idx="57">
                  <c:v>2087</c:v>
                </c:pt>
                <c:pt idx="58">
                  <c:v>2077</c:v>
                </c:pt>
                <c:pt idx="59">
                  <c:v>2071</c:v>
                </c:pt>
                <c:pt idx="60">
                  <c:v>2062</c:v>
                </c:pt>
                <c:pt idx="61">
                  <c:v>2060</c:v>
                </c:pt>
                <c:pt idx="62">
                  <c:v>2054</c:v>
                </c:pt>
                <c:pt idx="63">
                  <c:v>2055</c:v>
                </c:pt>
                <c:pt idx="64">
                  <c:v>2041</c:v>
                </c:pt>
                <c:pt idx="65">
                  <c:v>2031</c:v>
                </c:pt>
                <c:pt idx="66">
                  <c:v>2027</c:v>
                </c:pt>
                <c:pt idx="67">
                  <c:v>2014</c:v>
                </c:pt>
                <c:pt idx="68">
                  <c:v>2007</c:v>
                </c:pt>
                <c:pt idx="69">
                  <c:v>1988</c:v>
                </c:pt>
                <c:pt idx="70">
                  <c:v>1949</c:v>
                </c:pt>
                <c:pt idx="71">
                  <c:v>1908</c:v>
                </c:pt>
                <c:pt idx="72">
                  <c:v>1903</c:v>
                </c:pt>
                <c:pt idx="73">
                  <c:v>1908</c:v>
                </c:pt>
                <c:pt idx="74">
                  <c:v>1877</c:v>
                </c:pt>
                <c:pt idx="75">
                  <c:v>1869</c:v>
                </c:pt>
                <c:pt idx="76">
                  <c:v>1862</c:v>
                </c:pt>
                <c:pt idx="77">
                  <c:v>1838</c:v>
                </c:pt>
                <c:pt idx="78">
                  <c:v>1839</c:v>
                </c:pt>
                <c:pt idx="79">
                  <c:v>1835</c:v>
                </c:pt>
                <c:pt idx="80">
                  <c:v>1827</c:v>
                </c:pt>
                <c:pt idx="81">
                  <c:v>1814</c:v>
                </c:pt>
                <c:pt idx="82">
                  <c:v>1803</c:v>
                </c:pt>
                <c:pt idx="83">
                  <c:v>1760</c:v>
                </c:pt>
                <c:pt idx="84">
                  <c:v>1766</c:v>
                </c:pt>
                <c:pt idx="85">
                  <c:v>1746</c:v>
                </c:pt>
                <c:pt idx="86">
                  <c:v>1728</c:v>
                </c:pt>
                <c:pt idx="87">
                  <c:v>1707</c:v>
                </c:pt>
                <c:pt idx="88">
                  <c:v>1689</c:v>
                </c:pt>
                <c:pt idx="89">
                  <c:v>1685</c:v>
                </c:pt>
                <c:pt idx="90">
                  <c:v>1669</c:v>
                </c:pt>
                <c:pt idx="91">
                  <c:v>1655</c:v>
                </c:pt>
                <c:pt idx="92">
                  <c:v>1635</c:v>
                </c:pt>
                <c:pt idx="93">
                  <c:v>1620</c:v>
                </c:pt>
                <c:pt idx="94">
                  <c:v>1610</c:v>
                </c:pt>
                <c:pt idx="95">
                  <c:v>1588</c:v>
                </c:pt>
                <c:pt idx="96">
                  <c:v>1585</c:v>
                </c:pt>
                <c:pt idx="97">
                  <c:v>1588</c:v>
                </c:pt>
                <c:pt idx="98">
                  <c:v>1574</c:v>
                </c:pt>
                <c:pt idx="99">
                  <c:v>1553</c:v>
                </c:pt>
                <c:pt idx="100">
                  <c:v>1545</c:v>
                </c:pt>
                <c:pt idx="101">
                  <c:v>1541</c:v>
                </c:pt>
                <c:pt idx="102">
                  <c:v>1558</c:v>
                </c:pt>
                <c:pt idx="103">
                  <c:v>1547</c:v>
                </c:pt>
                <c:pt idx="104">
                  <c:v>1543</c:v>
                </c:pt>
                <c:pt idx="105">
                  <c:v>1528</c:v>
                </c:pt>
                <c:pt idx="106">
                  <c:v>1537</c:v>
                </c:pt>
                <c:pt idx="107">
                  <c:v>1538</c:v>
                </c:pt>
                <c:pt idx="108">
                  <c:v>1544</c:v>
                </c:pt>
                <c:pt idx="109">
                  <c:v>1520</c:v>
                </c:pt>
                <c:pt idx="110">
                  <c:v>1527</c:v>
                </c:pt>
                <c:pt idx="111">
                  <c:v>1511</c:v>
                </c:pt>
                <c:pt idx="112">
                  <c:v>1505</c:v>
                </c:pt>
              </c:numCache>
            </c:numRef>
          </c:val>
          <c:smooth val="1"/>
        </c:ser>
        <c:marker val="1"/>
        <c:axId val="138892032"/>
        <c:axId val="138912128"/>
      </c:lineChart>
      <c:dateAx>
        <c:axId val="138892032"/>
        <c:scaling>
          <c:orientation val="minMax"/>
          <c:max val="42036"/>
          <c:min val="38534"/>
        </c:scaling>
        <c:axPos val="b"/>
        <c:numFmt formatCode="dd/mm/yyyy" sourceLinked="1"/>
        <c:tickLblPos val="nextTo"/>
        <c:txPr>
          <a:bodyPr/>
          <a:lstStyle/>
          <a:p>
            <a:pPr>
              <a:defRPr sz="1100" baseline="0">
                <a:solidFill>
                  <a:schemeClr val="bg1"/>
                </a:solidFill>
              </a:defRPr>
            </a:pPr>
            <a:endParaRPr lang="es-ES"/>
          </a:p>
        </c:txPr>
        <c:crossAx val="138912128"/>
        <c:crosses val="autoZero"/>
        <c:lblOffset val="100"/>
        <c:baseTimeUnit val="days"/>
        <c:majorUnit val="6"/>
        <c:majorTimeUnit val="months"/>
      </c:dateAx>
      <c:valAx>
        <c:axId val="138912128"/>
        <c:scaling>
          <c:orientation val="minMax"/>
          <c:max val="2750"/>
          <c:min val="1375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s-ES" sz="1400">
                    <a:solidFill>
                      <a:schemeClr val="bg1"/>
                    </a:solidFill>
                  </a:rPr>
                  <a:t>€/m2</a:t>
                </a:r>
              </a:p>
            </c:rich>
          </c:tx>
          <c:layout>
            <c:manualLayout>
              <c:xMode val="edge"/>
              <c:yMode val="edge"/>
              <c:x val="8.3596629805160767E-3"/>
              <c:y val="0.34866333333333333"/>
            </c:manualLayout>
          </c:layout>
        </c:title>
        <c:numFmt formatCode="#,##0" sourceLinked="1"/>
        <c:tickLblPos val="nextTo"/>
        <c:txPr>
          <a:bodyPr/>
          <a:lstStyle/>
          <a:p>
            <a:pPr>
              <a:defRPr sz="1200" baseline="0">
                <a:solidFill>
                  <a:schemeClr val="bg1"/>
                </a:solidFill>
              </a:defRPr>
            </a:pPr>
            <a:endParaRPr lang="es-ES"/>
          </a:p>
        </c:txPr>
        <c:crossAx val="138892032"/>
        <c:crossesAt val="38353"/>
        <c:crossBetween val="between"/>
        <c:majorUnit val="125"/>
      </c:valAx>
      <c:spPr>
        <a:noFill/>
      </c:spPr>
    </c:plotArea>
    <c:plotVisOnly val="1"/>
  </c:chart>
  <c:spPr>
    <a:noFill/>
    <a:ln>
      <a:noFill/>
    </a:ln>
  </c:sp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2400"/>
            </a:pPr>
            <a:r>
              <a:rPr lang="es-ES" sz="2400"/>
              <a:t>Mercado de Vivienda Residencial</a:t>
            </a:r>
          </a:p>
          <a:p>
            <a:pPr>
              <a:defRPr sz="2400"/>
            </a:pPr>
            <a:r>
              <a:rPr lang="es-ES" sz="2000"/>
              <a:t>Evolución del Precio</a:t>
            </a:r>
          </a:p>
        </c:rich>
      </c:tx>
      <c:layout>
        <c:manualLayout>
          <c:xMode val="edge"/>
          <c:yMode val="edge"/>
          <c:x val="0.11782543443917852"/>
          <c:y val="2.116666666666667E-2"/>
        </c:manualLayout>
      </c:layout>
      <c:overlay val="1"/>
    </c:title>
    <c:plotArea>
      <c:layout>
        <c:manualLayout>
          <c:layoutTarget val="inner"/>
          <c:xMode val="edge"/>
          <c:yMode val="edge"/>
          <c:x val="9.8323591363875723E-2"/>
          <c:y val="4.3479722222222225E-2"/>
          <c:w val="0.87911071616640502"/>
          <c:h val="0.86814361111111304"/>
        </c:manualLayout>
      </c:layout>
      <c:lineChart>
        <c:grouping val="standard"/>
        <c:ser>
          <c:idx val="0"/>
          <c:order val="0"/>
          <c:spPr>
            <a:ln w="76200">
              <a:solidFill>
                <a:srgbClr val="FE6700"/>
              </a:solidFill>
            </a:ln>
          </c:spPr>
          <c:marker>
            <c:symbol val="none"/>
          </c:marker>
          <c:cat>
            <c:strRef>
              <c:f>'Viviendas 2'!$C$5:$C$84</c:f>
              <c:strCache>
                <c:ptCount val="77"/>
                <c:pt idx="0">
                  <c:v>'95</c:v>
                </c:pt>
                <c:pt idx="4">
                  <c:v>'96</c:v>
                </c:pt>
                <c:pt idx="8">
                  <c:v>'97</c:v>
                </c:pt>
                <c:pt idx="12">
                  <c:v>'98</c:v>
                </c:pt>
                <c:pt idx="16">
                  <c:v>'99</c:v>
                </c:pt>
                <c:pt idx="20">
                  <c:v>'00</c:v>
                </c:pt>
                <c:pt idx="24">
                  <c:v>'01</c:v>
                </c:pt>
                <c:pt idx="28">
                  <c:v>'02</c:v>
                </c:pt>
                <c:pt idx="32">
                  <c:v>'03</c:v>
                </c:pt>
                <c:pt idx="36">
                  <c:v>'04</c:v>
                </c:pt>
                <c:pt idx="40">
                  <c:v>'05</c:v>
                </c:pt>
                <c:pt idx="44">
                  <c:v>'06</c:v>
                </c:pt>
                <c:pt idx="48">
                  <c:v>'07</c:v>
                </c:pt>
                <c:pt idx="52">
                  <c:v>'08</c:v>
                </c:pt>
                <c:pt idx="56">
                  <c:v>'09</c:v>
                </c:pt>
                <c:pt idx="60">
                  <c:v>'10</c:v>
                </c:pt>
                <c:pt idx="64">
                  <c:v>'11</c:v>
                </c:pt>
                <c:pt idx="68">
                  <c:v>'12</c:v>
                </c:pt>
                <c:pt idx="72">
                  <c:v>'13</c:v>
                </c:pt>
                <c:pt idx="76">
                  <c:v>'14</c:v>
                </c:pt>
              </c:strCache>
            </c:strRef>
          </c:cat>
          <c:val>
            <c:numRef>
              <c:f>'Viviendas 2'!$D$5:$D$84</c:f>
              <c:numCache>
                <c:formatCode>#,##0.0</c:formatCode>
                <c:ptCount val="80"/>
                <c:pt idx="0">
                  <c:v>670.8</c:v>
                </c:pt>
                <c:pt idx="1">
                  <c:v>686</c:v>
                </c:pt>
                <c:pt idx="2">
                  <c:v>682.6</c:v>
                </c:pt>
                <c:pt idx="3">
                  <c:v>692.7</c:v>
                </c:pt>
                <c:pt idx="4">
                  <c:v>686</c:v>
                </c:pt>
                <c:pt idx="5">
                  <c:v>697.8</c:v>
                </c:pt>
                <c:pt idx="6">
                  <c:v>691</c:v>
                </c:pt>
                <c:pt idx="7">
                  <c:v>694.4</c:v>
                </c:pt>
                <c:pt idx="8">
                  <c:v>691</c:v>
                </c:pt>
                <c:pt idx="9">
                  <c:v>726.4</c:v>
                </c:pt>
                <c:pt idx="10">
                  <c:v>726.4</c:v>
                </c:pt>
                <c:pt idx="11">
                  <c:v>702.8</c:v>
                </c:pt>
                <c:pt idx="12">
                  <c:v>716.3</c:v>
                </c:pt>
                <c:pt idx="13">
                  <c:v>761.8</c:v>
                </c:pt>
                <c:pt idx="14">
                  <c:v>777</c:v>
                </c:pt>
                <c:pt idx="15">
                  <c:v>756.7</c:v>
                </c:pt>
                <c:pt idx="16">
                  <c:v>780.3</c:v>
                </c:pt>
                <c:pt idx="17">
                  <c:v>805.6</c:v>
                </c:pt>
                <c:pt idx="18">
                  <c:v>827.5</c:v>
                </c:pt>
                <c:pt idx="19">
                  <c:v>829.2</c:v>
                </c:pt>
                <c:pt idx="20">
                  <c:v>856.2</c:v>
                </c:pt>
                <c:pt idx="21">
                  <c:v>879.8</c:v>
                </c:pt>
                <c:pt idx="22">
                  <c:v>891.6</c:v>
                </c:pt>
                <c:pt idx="23">
                  <c:v>893.3</c:v>
                </c:pt>
                <c:pt idx="24">
                  <c:v>930.3</c:v>
                </c:pt>
                <c:pt idx="25">
                  <c:v>962.4</c:v>
                </c:pt>
                <c:pt idx="26">
                  <c:v>982.6</c:v>
                </c:pt>
                <c:pt idx="27">
                  <c:v>992.7</c:v>
                </c:pt>
                <c:pt idx="28">
                  <c:v>1051.7</c:v>
                </c:pt>
                <c:pt idx="29">
                  <c:v>1117.4000000000001</c:v>
                </c:pt>
                <c:pt idx="30">
                  <c:v>1142.7</c:v>
                </c:pt>
                <c:pt idx="31">
                  <c:v>1164.5999999999999</c:v>
                </c:pt>
                <c:pt idx="32">
                  <c:v>1230.3</c:v>
                </c:pt>
                <c:pt idx="33">
                  <c:v>1309.5999999999999</c:v>
                </c:pt>
                <c:pt idx="34">
                  <c:v>1344.9</c:v>
                </c:pt>
                <c:pt idx="35">
                  <c:v>1380.3</c:v>
                </c:pt>
                <c:pt idx="36">
                  <c:v>1456.2</c:v>
                </c:pt>
                <c:pt idx="37">
                  <c:v>1538.8</c:v>
                </c:pt>
                <c:pt idx="38">
                  <c:v>1570.8</c:v>
                </c:pt>
                <c:pt idx="39">
                  <c:v>1618</c:v>
                </c:pt>
                <c:pt idx="40">
                  <c:v>1685.4</c:v>
                </c:pt>
                <c:pt idx="41">
                  <c:v>1752.8</c:v>
                </c:pt>
                <c:pt idx="42">
                  <c:v>1781.5</c:v>
                </c:pt>
                <c:pt idx="43">
                  <c:v>1824.3</c:v>
                </c:pt>
                <c:pt idx="44">
                  <c:v>1887.6</c:v>
                </c:pt>
                <c:pt idx="45">
                  <c:v>1942.3</c:v>
                </c:pt>
                <c:pt idx="46">
                  <c:v>1956.7</c:v>
                </c:pt>
                <c:pt idx="47">
                  <c:v>1990.5</c:v>
                </c:pt>
                <c:pt idx="48">
                  <c:v>2024.2</c:v>
                </c:pt>
                <c:pt idx="49">
                  <c:v>2054.5</c:v>
                </c:pt>
                <c:pt idx="50">
                  <c:v>2061.1999999999998</c:v>
                </c:pt>
                <c:pt idx="51">
                  <c:v>2085.5</c:v>
                </c:pt>
                <c:pt idx="52">
                  <c:v>2101.4</c:v>
                </c:pt>
                <c:pt idx="53">
                  <c:v>2095.6999999999998</c:v>
                </c:pt>
                <c:pt idx="54">
                  <c:v>2068.6999999999998</c:v>
                </c:pt>
                <c:pt idx="55">
                  <c:v>2018.5</c:v>
                </c:pt>
                <c:pt idx="56">
                  <c:v>1958.1</c:v>
                </c:pt>
                <c:pt idx="57">
                  <c:v>1920.9</c:v>
                </c:pt>
                <c:pt idx="58">
                  <c:v>1896.8</c:v>
                </c:pt>
                <c:pt idx="59">
                  <c:v>1892.3</c:v>
                </c:pt>
                <c:pt idx="60">
                  <c:v>1865.7</c:v>
                </c:pt>
                <c:pt idx="61">
                  <c:v>1848.9</c:v>
                </c:pt>
                <c:pt idx="62">
                  <c:v>1832</c:v>
                </c:pt>
                <c:pt idx="63">
                  <c:v>1825.5</c:v>
                </c:pt>
                <c:pt idx="64">
                  <c:v>1777.6</c:v>
                </c:pt>
                <c:pt idx="65">
                  <c:v>1752.1</c:v>
                </c:pt>
                <c:pt idx="66">
                  <c:v>1729.3</c:v>
                </c:pt>
                <c:pt idx="67">
                  <c:v>1701.8</c:v>
                </c:pt>
                <c:pt idx="68">
                  <c:v>1649.3</c:v>
                </c:pt>
                <c:pt idx="69">
                  <c:v>1606.4</c:v>
                </c:pt>
                <c:pt idx="70">
                  <c:v>1565.6</c:v>
                </c:pt>
                <c:pt idx="71">
                  <c:v>1531.2</c:v>
                </c:pt>
                <c:pt idx="72">
                  <c:v>1516.4</c:v>
                </c:pt>
                <c:pt idx="73">
                  <c:v>1502.8</c:v>
                </c:pt>
                <c:pt idx="74">
                  <c:v>1495.3</c:v>
                </c:pt>
                <c:pt idx="75">
                  <c:v>1466.9</c:v>
                </c:pt>
                <c:pt idx="76">
                  <c:v>1459.4</c:v>
                </c:pt>
                <c:pt idx="77">
                  <c:v>1459.3000000000002</c:v>
                </c:pt>
                <c:pt idx="78">
                  <c:v>1455.8</c:v>
                </c:pt>
              </c:numCache>
            </c:numRef>
          </c:val>
        </c:ser>
        <c:marker val="1"/>
        <c:axId val="138984064"/>
        <c:axId val="139155328"/>
      </c:lineChart>
      <c:catAx>
        <c:axId val="138984064"/>
        <c:scaling>
          <c:orientation val="minMax"/>
        </c:scaling>
        <c:axPos val="b"/>
        <c:numFmt formatCode="General" sourceLinked="1"/>
        <c:tickLblPos val="low"/>
        <c:txPr>
          <a:bodyPr rot="0" vert="horz"/>
          <a:lstStyle/>
          <a:p>
            <a:pPr>
              <a:defRPr sz="1200" b="1"/>
            </a:pPr>
            <a:endParaRPr lang="es-ES"/>
          </a:p>
        </c:txPr>
        <c:crossAx val="139155328"/>
        <c:crosses val="autoZero"/>
        <c:lblAlgn val="ctr"/>
        <c:lblOffset val="100"/>
        <c:tickLblSkip val="4"/>
        <c:tickMarkSkip val="1"/>
      </c:catAx>
      <c:valAx>
        <c:axId val="139155328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s-ES" sz="1200"/>
                  <a:t>€/m2</a:t>
                </a:r>
              </a:p>
            </c:rich>
          </c:tx>
          <c:layout>
            <c:manualLayout>
              <c:xMode val="edge"/>
              <c:yMode val="edge"/>
              <c:x val="6.6877303844128716E-3"/>
              <c:y val="0.4271572222222223"/>
            </c:manualLayout>
          </c:layout>
        </c:title>
        <c:numFmt formatCode="#,##0" sourceLinked="0"/>
        <c:tickLblPos val="nextTo"/>
        <c:txPr>
          <a:bodyPr/>
          <a:lstStyle/>
          <a:p>
            <a:pPr>
              <a:defRPr sz="1200" b="1"/>
            </a:pPr>
            <a:endParaRPr lang="es-ES"/>
          </a:p>
        </c:txPr>
        <c:crossAx val="138984064"/>
        <c:crosses val="autoZero"/>
        <c:crossBetween val="between"/>
      </c:valAx>
      <c:spPr>
        <a:noFill/>
      </c:spPr>
    </c:plotArea>
    <c:plotVisOnly val="1"/>
  </c:chart>
  <c:spPr>
    <a:noFill/>
    <a:ln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000000000000211" l="0.70000000000000062" r="0.70000000000000062" t="0.75000000000000211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title>
      <c:tx>
        <c:rich>
          <a:bodyPr/>
          <a:lstStyle/>
          <a:p>
            <a:pPr>
              <a:defRPr sz="2400"/>
            </a:pPr>
            <a:r>
              <a:rPr lang="es-ES" sz="2400"/>
              <a:t>Mercado de Vivienda Residencial</a:t>
            </a:r>
          </a:p>
        </c:rich>
      </c:tx>
      <c:layout>
        <c:manualLayout>
          <c:xMode val="edge"/>
          <c:yMode val="edge"/>
          <c:x val="0.11782543443917852"/>
          <c:y val="0"/>
        </c:manualLayout>
      </c:layout>
      <c:overlay val="1"/>
      <c:spPr>
        <a:solidFill>
          <a:srgbClr val="2B4E61"/>
        </a:solidFill>
      </c:spPr>
    </c:title>
    <c:plotArea>
      <c:layout>
        <c:manualLayout>
          <c:layoutTarget val="inner"/>
          <c:xMode val="edge"/>
          <c:yMode val="edge"/>
          <c:x val="9.8323591363875723E-2"/>
          <c:y val="4.3479722222222225E-2"/>
          <c:w val="0.82297722485518765"/>
          <c:h val="0.86814361111111338"/>
        </c:manualLayout>
      </c:layout>
      <c:barChart>
        <c:barDir val="col"/>
        <c:grouping val="clustered"/>
        <c:ser>
          <c:idx val="1"/>
          <c:order val="1"/>
          <c:tx>
            <c:v>Número de Transacciones</c:v>
          </c:tx>
          <c:spPr>
            <a:solidFill>
              <a:schemeClr val="accent1"/>
            </a:solidFill>
          </c:spPr>
          <c:cat>
            <c:strRef>
              <c:f>'Viviendas 2'!$C$41:$C$84</c:f>
              <c:strCache>
                <c:ptCount val="41"/>
                <c:pt idx="0">
                  <c:v>'04</c:v>
                </c:pt>
                <c:pt idx="4">
                  <c:v>'05</c:v>
                </c:pt>
                <c:pt idx="8">
                  <c:v>'06</c:v>
                </c:pt>
                <c:pt idx="12">
                  <c:v>'07</c:v>
                </c:pt>
                <c:pt idx="16">
                  <c:v>'08</c:v>
                </c:pt>
                <c:pt idx="20">
                  <c:v>'09</c:v>
                </c:pt>
                <c:pt idx="24">
                  <c:v>'10</c:v>
                </c:pt>
                <c:pt idx="28">
                  <c:v>'11</c:v>
                </c:pt>
                <c:pt idx="32">
                  <c:v>'12</c:v>
                </c:pt>
                <c:pt idx="36">
                  <c:v>'13</c:v>
                </c:pt>
                <c:pt idx="40">
                  <c:v>'14</c:v>
                </c:pt>
              </c:strCache>
            </c:strRef>
          </c:cat>
          <c:val>
            <c:numRef>
              <c:f>'Viviendas 2'!$E$41:$E$84</c:f>
              <c:numCache>
                <c:formatCode>#,##0</c:formatCode>
                <c:ptCount val="44"/>
                <c:pt idx="0">
                  <c:v>190442</c:v>
                </c:pt>
                <c:pt idx="1">
                  <c:v>223895</c:v>
                </c:pt>
                <c:pt idx="2">
                  <c:v>201089</c:v>
                </c:pt>
                <c:pt idx="3">
                  <c:v>232964</c:v>
                </c:pt>
                <c:pt idx="4">
                  <c:v>196438</c:v>
                </c:pt>
                <c:pt idx="5">
                  <c:v>241398</c:v>
                </c:pt>
                <c:pt idx="6">
                  <c:v>216333</c:v>
                </c:pt>
                <c:pt idx="7">
                  <c:v>247405</c:v>
                </c:pt>
                <c:pt idx="8">
                  <c:v>233669</c:v>
                </c:pt>
                <c:pt idx="9">
                  <c:v>251649</c:v>
                </c:pt>
                <c:pt idx="10">
                  <c:v>221610</c:v>
                </c:pt>
                <c:pt idx="11">
                  <c:v>248258</c:v>
                </c:pt>
                <c:pt idx="12">
                  <c:v>230755</c:v>
                </c:pt>
                <c:pt idx="13">
                  <c:v>227562</c:v>
                </c:pt>
                <c:pt idx="14">
                  <c:v>186504</c:v>
                </c:pt>
                <c:pt idx="15">
                  <c:v>192050</c:v>
                </c:pt>
                <c:pt idx="16">
                  <c:v>159088</c:v>
                </c:pt>
                <c:pt idx="17">
                  <c:v>157008</c:v>
                </c:pt>
                <c:pt idx="18">
                  <c:v>122949</c:v>
                </c:pt>
                <c:pt idx="19">
                  <c:v>125419</c:v>
                </c:pt>
                <c:pt idx="20">
                  <c:v>104703</c:v>
                </c:pt>
                <c:pt idx="21">
                  <c:v>119938</c:v>
                </c:pt>
                <c:pt idx="22">
                  <c:v>107534</c:v>
                </c:pt>
                <c:pt idx="23">
                  <c:v>131544</c:v>
                </c:pt>
                <c:pt idx="24">
                  <c:v>107079</c:v>
                </c:pt>
                <c:pt idx="25">
                  <c:v>153164</c:v>
                </c:pt>
                <c:pt idx="26">
                  <c:v>80550</c:v>
                </c:pt>
                <c:pt idx="27">
                  <c:v>150494</c:v>
                </c:pt>
                <c:pt idx="28">
                  <c:v>74455</c:v>
                </c:pt>
                <c:pt idx="29">
                  <c:v>90756</c:v>
                </c:pt>
                <c:pt idx="30">
                  <c:v>76534</c:v>
                </c:pt>
                <c:pt idx="31">
                  <c:v>107373</c:v>
                </c:pt>
                <c:pt idx="32">
                  <c:v>69420</c:v>
                </c:pt>
                <c:pt idx="33">
                  <c:v>84289</c:v>
                </c:pt>
                <c:pt idx="34">
                  <c:v>75313</c:v>
                </c:pt>
                <c:pt idx="35">
                  <c:v>134601</c:v>
                </c:pt>
                <c:pt idx="36">
                  <c:v>54835</c:v>
                </c:pt>
                <c:pt idx="37">
                  <c:v>81472</c:v>
                </c:pt>
                <c:pt idx="38">
                  <c:v>70604</c:v>
                </c:pt>
                <c:pt idx="39">
                  <c:v>93657</c:v>
                </c:pt>
                <c:pt idx="40">
                  <c:v>81516</c:v>
                </c:pt>
                <c:pt idx="41">
                  <c:v>91769</c:v>
                </c:pt>
                <c:pt idx="42">
                  <c:v>80136</c:v>
                </c:pt>
              </c:numCache>
            </c:numRef>
          </c:val>
        </c:ser>
        <c:gapWidth val="60"/>
        <c:axId val="139425664"/>
        <c:axId val="139423744"/>
      </c:barChart>
      <c:lineChart>
        <c:grouping val="standard"/>
        <c:ser>
          <c:idx val="0"/>
          <c:order val="0"/>
          <c:tx>
            <c:v>Precio por m2</c:v>
          </c:tx>
          <c:spPr>
            <a:ln w="76200">
              <a:solidFill>
                <a:srgbClr val="FE6700"/>
              </a:solidFill>
            </a:ln>
          </c:spPr>
          <c:marker>
            <c:symbol val="none"/>
          </c:marker>
          <c:cat>
            <c:strRef>
              <c:f>'Viviendas 2'!$C$41:$C$84</c:f>
              <c:strCache>
                <c:ptCount val="41"/>
                <c:pt idx="0">
                  <c:v>'04</c:v>
                </c:pt>
                <c:pt idx="4">
                  <c:v>'05</c:v>
                </c:pt>
                <c:pt idx="8">
                  <c:v>'06</c:v>
                </c:pt>
                <c:pt idx="12">
                  <c:v>'07</c:v>
                </c:pt>
                <c:pt idx="16">
                  <c:v>'08</c:v>
                </c:pt>
                <c:pt idx="20">
                  <c:v>'09</c:v>
                </c:pt>
                <c:pt idx="24">
                  <c:v>'10</c:v>
                </c:pt>
                <c:pt idx="28">
                  <c:v>'11</c:v>
                </c:pt>
                <c:pt idx="32">
                  <c:v>'12</c:v>
                </c:pt>
                <c:pt idx="36">
                  <c:v>'13</c:v>
                </c:pt>
                <c:pt idx="40">
                  <c:v>'14</c:v>
                </c:pt>
              </c:strCache>
            </c:strRef>
          </c:cat>
          <c:val>
            <c:numRef>
              <c:f>'Viviendas 2'!$D$41:$D$84</c:f>
              <c:numCache>
                <c:formatCode>#,##0.0</c:formatCode>
                <c:ptCount val="44"/>
                <c:pt idx="0">
                  <c:v>1456.2</c:v>
                </c:pt>
                <c:pt idx="1">
                  <c:v>1538.8</c:v>
                </c:pt>
                <c:pt idx="2">
                  <c:v>1570.8</c:v>
                </c:pt>
                <c:pt idx="3">
                  <c:v>1618</c:v>
                </c:pt>
                <c:pt idx="4">
                  <c:v>1685.4</c:v>
                </c:pt>
                <c:pt idx="5">
                  <c:v>1752.8</c:v>
                </c:pt>
                <c:pt idx="6">
                  <c:v>1781.5</c:v>
                </c:pt>
                <c:pt idx="7">
                  <c:v>1824.3</c:v>
                </c:pt>
                <c:pt idx="8">
                  <c:v>1887.6</c:v>
                </c:pt>
                <c:pt idx="9">
                  <c:v>1942.3</c:v>
                </c:pt>
                <c:pt idx="10">
                  <c:v>1956.7</c:v>
                </c:pt>
                <c:pt idx="11">
                  <c:v>1990.5</c:v>
                </c:pt>
                <c:pt idx="12">
                  <c:v>2024.2</c:v>
                </c:pt>
                <c:pt idx="13">
                  <c:v>2054.5</c:v>
                </c:pt>
                <c:pt idx="14">
                  <c:v>2061.1999999999998</c:v>
                </c:pt>
                <c:pt idx="15">
                  <c:v>2085.5</c:v>
                </c:pt>
                <c:pt idx="16">
                  <c:v>2101.4</c:v>
                </c:pt>
                <c:pt idx="17">
                  <c:v>2095.6999999999998</c:v>
                </c:pt>
                <c:pt idx="18">
                  <c:v>2068.6999999999998</c:v>
                </c:pt>
                <c:pt idx="19">
                  <c:v>2018.5</c:v>
                </c:pt>
                <c:pt idx="20">
                  <c:v>1958.1</c:v>
                </c:pt>
                <c:pt idx="21">
                  <c:v>1920.9</c:v>
                </c:pt>
                <c:pt idx="22">
                  <c:v>1896.8</c:v>
                </c:pt>
                <c:pt idx="23">
                  <c:v>1892.3</c:v>
                </c:pt>
                <c:pt idx="24">
                  <c:v>1865.7</c:v>
                </c:pt>
                <c:pt idx="25">
                  <c:v>1848.9</c:v>
                </c:pt>
                <c:pt idx="26">
                  <c:v>1832</c:v>
                </c:pt>
                <c:pt idx="27">
                  <c:v>1825.5</c:v>
                </c:pt>
                <c:pt idx="28">
                  <c:v>1777.6</c:v>
                </c:pt>
                <c:pt idx="29">
                  <c:v>1752.1</c:v>
                </c:pt>
                <c:pt idx="30">
                  <c:v>1729.3</c:v>
                </c:pt>
                <c:pt idx="31">
                  <c:v>1701.8</c:v>
                </c:pt>
                <c:pt idx="32">
                  <c:v>1649.3</c:v>
                </c:pt>
                <c:pt idx="33">
                  <c:v>1606.4</c:v>
                </c:pt>
                <c:pt idx="34">
                  <c:v>1565.6</c:v>
                </c:pt>
                <c:pt idx="35">
                  <c:v>1531.2</c:v>
                </c:pt>
                <c:pt idx="36">
                  <c:v>1516.4</c:v>
                </c:pt>
                <c:pt idx="37">
                  <c:v>1502.8</c:v>
                </c:pt>
                <c:pt idx="38">
                  <c:v>1495.3</c:v>
                </c:pt>
                <c:pt idx="39">
                  <c:v>1466.9</c:v>
                </c:pt>
                <c:pt idx="40">
                  <c:v>1459.4</c:v>
                </c:pt>
                <c:pt idx="41">
                  <c:v>1459.3000000000002</c:v>
                </c:pt>
                <c:pt idx="42">
                  <c:v>1455.8</c:v>
                </c:pt>
              </c:numCache>
            </c:numRef>
          </c:val>
        </c:ser>
        <c:marker val="1"/>
        <c:axId val="139420032"/>
        <c:axId val="139421568"/>
      </c:lineChart>
      <c:catAx>
        <c:axId val="139420032"/>
        <c:scaling>
          <c:orientation val="minMax"/>
        </c:scaling>
        <c:axPos val="b"/>
        <c:numFmt formatCode="General" sourceLinked="1"/>
        <c:tickLblPos val="low"/>
        <c:txPr>
          <a:bodyPr rot="0" vert="horz"/>
          <a:lstStyle/>
          <a:p>
            <a:pPr>
              <a:defRPr sz="1200" b="1"/>
            </a:pPr>
            <a:endParaRPr lang="es-ES"/>
          </a:p>
        </c:txPr>
        <c:crossAx val="139421568"/>
        <c:crosses val="autoZero"/>
        <c:lblAlgn val="ctr"/>
        <c:lblOffset val="100"/>
        <c:tickLblSkip val="4"/>
        <c:tickMarkSkip val="1"/>
      </c:catAx>
      <c:valAx>
        <c:axId val="139421568"/>
        <c:scaling>
          <c:orientation val="minMax"/>
          <c:max val="2250"/>
          <c:min val="125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 sz="1200"/>
                </a:pPr>
                <a:r>
                  <a:rPr lang="es-ES" sz="1200"/>
                  <a:t>€/m2</a:t>
                </a:r>
              </a:p>
            </c:rich>
          </c:tx>
          <c:layout>
            <c:manualLayout>
              <c:xMode val="edge"/>
              <c:yMode val="edge"/>
              <c:x val="6.6877303844128742E-3"/>
              <c:y val="0.4271572222222223"/>
            </c:manualLayout>
          </c:layout>
        </c:title>
        <c:numFmt formatCode="#,##0" sourceLinked="0"/>
        <c:tickLblPos val="nextTo"/>
        <c:txPr>
          <a:bodyPr/>
          <a:lstStyle/>
          <a:p>
            <a:pPr>
              <a:defRPr sz="1200" b="1"/>
            </a:pPr>
            <a:endParaRPr lang="es-ES"/>
          </a:p>
        </c:txPr>
        <c:crossAx val="139420032"/>
        <c:crosses val="autoZero"/>
        <c:crossBetween val="between"/>
        <c:majorUnit val="250"/>
      </c:valAx>
      <c:valAx>
        <c:axId val="139423744"/>
        <c:scaling>
          <c:orientation val="minMax"/>
        </c:scaling>
        <c:axPos val="r"/>
        <c:numFmt formatCode="#,##0" sourceLinked="1"/>
        <c:tickLblPos val="nextTo"/>
        <c:txPr>
          <a:bodyPr/>
          <a:lstStyle/>
          <a:p>
            <a:pPr>
              <a:defRPr sz="1200" b="1"/>
            </a:pPr>
            <a:endParaRPr lang="es-ES"/>
          </a:p>
        </c:txPr>
        <c:crossAx val="139425664"/>
        <c:crosses val="max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0.97310703001579912"/>
                <c:y val="0.40331305555555558"/>
              </c:manualLayout>
            </c:layout>
            <c:tx>
              <c:rich>
                <a:bodyPr rot="5400000" vert="horz"/>
                <a:lstStyle/>
                <a:p>
                  <a:pPr>
                    <a:defRPr/>
                  </a:pPr>
                  <a:r>
                    <a:rPr lang="es-ES"/>
                    <a:t>(millares)</a:t>
                  </a:r>
                </a:p>
              </c:rich>
            </c:tx>
          </c:dispUnitsLbl>
        </c:dispUnits>
      </c:valAx>
      <c:catAx>
        <c:axId val="139425664"/>
        <c:scaling>
          <c:orientation val="minMax"/>
        </c:scaling>
        <c:delete val="1"/>
        <c:axPos val="b"/>
        <c:tickLblPos val="none"/>
        <c:crossAx val="139423744"/>
        <c:crosses val="autoZero"/>
        <c:auto val="1"/>
        <c:lblAlgn val="ctr"/>
        <c:lblOffset val="100"/>
      </c:catAx>
      <c:spPr>
        <a:noFill/>
      </c:spPr>
    </c:plotArea>
    <c:legend>
      <c:legendPos val="l"/>
      <c:layout>
        <c:manualLayout>
          <c:xMode val="edge"/>
          <c:yMode val="edge"/>
          <c:x val="0.6253027909426"/>
          <c:y val="0.19279083333333341"/>
          <c:w val="0.28808241179568328"/>
          <c:h val="0.10289055555555562"/>
        </c:manualLayout>
      </c:layout>
      <c:overlay val="1"/>
      <c:spPr>
        <a:solidFill>
          <a:srgbClr val="2B4E61"/>
        </a:solidFill>
      </c:spPr>
      <c:txPr>
        <a:bodyPr/>
        <a:lstStyle/>
        <a:p>
          <a:pPr>
            <a:defRPr sz="1200" b="1"/>
          </a:pPr>
          <a:endParaRPr lang="es-ES"/>
        </a:p>
      </c:txPr>
    </c:legend>
    <c:plotVisOnly val="1"/>
    <c:dispBlanksAs val="gap"/>
  </c:chart>
  <c:spPr>
    <a:noFill/>
    <a:ln>
      <a:noFill/>
    </a:ln>
  </c:spPr>
  <c:txPr>
    <a:bodyPr/>
    <a:lstStyle/>
    <a:p>
      <a:pPr>
        <a:defRPr>
          <a:solidFill>
            <a:schemeClr val="bg1"/>
          </a:solidFill>
        </a:defRPr>
      </a:pPr>
      <a:endParaRPr lang="es-ES"/>
    </a:p>
  </c:txPr>
  <c:printSettings>
    <c:headerFooter/>
    <c:pageMargins b="0.75000000000000233" l="0.70000000000000062" r="0.70000000000000062" t="0.75000000000000233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'Of. por Áreas (old)'!$B$8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(old)'!$C$8:$L$8</c:f>
              <c:numCache>
                <c:formatCode>#,##0</c:formatCode>
                <c:ptCount val="10"/>
                <c:pt idx="0">
                  <c:v>13025</c:v>
                </c:pt>
                <c:pt idx="1">
                  <c:v>39320</c:v>
                </c:pt>
                <c:pt idx="2">
                  <c:v>11340</c:v>
                </c:pt>
                <c:pt idx="3">
                  <c:v>121035</c:v>
                </c:pt>
                <c:pt idx="4">
                  <c:v>146736</c:v>
                </c:pt>
                <c:pt idx="5">
                  <c:v>17665</c:v>
                </c:pt>
                <c:pt idx="6">
                  <c:v>15452</c:v>
                </c:pt>
                <c:pt idx="7">
                  <c:v>200</c:v>
                </c:pt>
              </c:numCache>
            </c:numRef>
          </c:val>
        </c:ser>
        <c:ser>
          <c:idx val="1"/>
          <c:order val="1"/>
          <c:tx>
            <c:strRef>
              <c:f>'Of. por Áreas (old)'!$B$9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(old)'!$C$9:$L$9</c:f>
              <c:numCache>
                <c:formatCode>#,##0</c:formatCode>
                <c:ptCount val="10"/>
                <c:pt idx="0">
                  <c:v>72970</c:v>
                </c:pt>
                <c:pt idx="1">
                  <c:v>65627</c:v>
                </c:pt>
                <c:pt idx="2">
                  <c:v>70160</c:v>
                </c:pt>
                <c:pt idx="3">
                  <c:v>76950</c:v>
                </c:pt>
                <c:pt idx="4">
                  <c:v>56955</c:v>
                </c:pt>
                <c:pt idx="5">
                  <c:v>52615</c:v>
                </c:pt>
                <c:pt idx="6">
                  <c:v>62634</c:v>
                </c:pt>
                <c:pt idx="7">
                  <c:v>56190</c:v>
                </c:pt>
              </c:numCache>
            </c:numRef>
          </c:val>
        </c:ser>
        <c:ser>
          <c:idx val="2"/>
          <c:order val="2"/>
          <c:tx>
            <c:strRef>
              <c:f>'Of. por Áreas (old)'!$B$10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(old)'!$C$10:$L$10</c:f>
              <c:numCache>
                <c:formatCode>#,##0</c:formatCode>
                <c:ptCount val="10"/>
                <c:pt idx="0">
                  <c:v>56209</c:v>
                </c:pt>
                <c:pt idx="1">
                  <c:v>63110</c:v>
                </c:pt>
                <c:pt idx="2">
                  <c:v>107010</c:v>
                </c:pt>
                <c:pt idx="3">
                  <c:v>12515</c:v>
                </c:pt>
                <c:pt idx="4">
                  <c:v>22480</c:v>
                </c:pt>
                <c:pt idx="5">
                  <c:v>15245</c:v>
                </c:pt>
                <c:pt idx="6">
                  <c:v>37272</c:v>
                </c:pt>
                <c:pt idx="7">
                  <c:v>10110</c:v>
                </c:pt>
              </c:numCache>
            </c:numRef>
          </c:val>
        </c:ser>
        <c:ser>
          <c:idx val="3"/>
          <c:order val="3"/>
          <c:tx>
            <c:strRef>
              <c:f>'Of. por Áreas (old)'!$B$11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(old)'!$C$11:$L$11</c:f>
              <c:numCache>
                <c:formatCode>#,##0</c:formatCode>
                <c:ptCount val="10"/>
                <c:pt idx="0">
                  <c:v>9285</c:v>
                </c:pt>
                <c:pt idx="1">
                  <c:v>14900</c:v>
                </c:pt>
                <c:pt idx="2">
                  <c:v>46855</c:v>
                </c:pt>
                <c:pt idx="3">
                  <c:v>12450</c:v>
                </c:pt>
                <c:pt idx="4">
                  <c:v>8915</c:v>
                </c:pt>
                <c:pt idx="5">
                  <c:v>25285</c:v>
                </c:pt>
                <c:pt idx="6">
                  <c:v>20565</c:v>
                </c:pt>
                <c:pt idx="7">
                  <c:v>5971</c:v>
                </c:pt>
              </c:numCache>
            </c:numRef>
          </c:val>
        </c:ser>
        <c:ser>
          <c:idx val="4"/>
          <c:order val="4"/>
          <c:tx>
            <c:strRef>
              <c:f>'Of. por Áreas (old)'!$B$12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(old)'!$C$12:$L$12</c:f>
              <c:numCache>
                <c:formatCode>#,##0</c:formatCode>
                <c:ptCount val="10"/>
                <c:pt idx="0">
                  <c:v>60265</c:v>
                </c:pt>
                <c:pt idx="1">
                  <c:v>50360</c:v>
                </c:pt>
                <c:pt idx="2">
                  <c:v>27250</c:v>
                </c:pt>
                <c:pt idx="3">
                  <c:v>33635</c:v>
                </c:pt>
                <c:pt idx="4">
                  <c:v>7760</c:v>
                </c:pt>
                <c:pt idx="5">
                  <c:v>45855</c:v>
                </c:pt>
                <c:pt idx="6">
                  <c:v>37775</c:v>
                </c:pt>
                <c:pt idx="7">
                  <c:v>2615</c:v>
                </c:pt>
              </c:numCache>
            </c:numRef>
          </c:val>
        </c:ser>
        <c:ser>
          <c:idx val="5"/>
          <c:order val="5"/>
          <c:tx>
            <c:strRef>
              <c:f>'Of. por Áreas (old)'!$B$13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(old)'!$C$13:$L$13</c:f>
              <c:numCache>
                <c:formatCode>#,##0</c:formatCode>
                <c:ptCount val="10"/>
                <c:pt idx="0">
                  <c:v>46950</c:v>
                </c:pt>
                <c:pt idx="1">
                  <c:v>18880</c:v>
                </c:pt>
                <c:pt idx="2">
                  <c:v>29170</c:v>
                </c:pt>
                <c:pt idx="3">
                  <c:v>20470</c:v>
                </c:pt>
                <c:pt idx="4">
                  <c:v>13495</c:v>
                </c:pt>
                <c:pt idx="5">
                  <c:v>56794</c:v>
                </c:pt>
                <c:pt idx="6">
                  <c:v>51705</c:v>
                </c:pt>
                <c:pt idx="7">
                  <c:v>19275</c:v>
                </c:pt>
              </c:numCache>
            </c:numRef>
          </c:val>
        </c:ser>
        <c:ser>
          <c:idx val="6"/>
          <c:order val="6"/>
          <c:tx>
            <c:strRef>
              <c:f>'Of. por Áreas (old)'!$B$14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(old)'!$C$14:$L$14</c:f>
              <c:numCache>
                <c:formatCode>#,##0</c:formatCode>
                <c:ptCount val="10"/>
                <c:pt idx="0">
                  <c:v>58820</c:v>
                </c:pt>
                <c:pt idx="1">
                  <c:v>120280</c:v>
                </c:pt>
                <c:pt idx="2">
                  <c:v>155150</c:v>
                </c:pt>
                <c:pt idx="3">
                  <c:v>128945</c:v>
                </c:pt>
                <c:pt idx="4">
                  <c:v>69685</c:v>
                </c:pt>
                <c:pt idx="5">
                  <c:v>92750</c:v>
                </c:pt>
                <c:pt idx="6">
                  <c:v>91261</c:v>
                </c:pt>
                <c:pt idx="7">
                  <c:v>94980</c:v>
                </c:pt>
              </c:numCache>
            </c:numRef>
          </c:val>
        </c:ser>
        <c:gapWidth val="35"/>
        <c:overlap val="100"/>
        <c:axId val="139393664"/>
        <c:axId val="139469184"/>
      </c:barChart>
      <c:catAx>
        <c:axId val="13939366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469184"/>
        <c:crosses val="autoZero"/>
        <c:auto val="1"/>
        <c:lblAlgn val="ctr"/>
        <c:lblOffset val="100"/>
      </c:catAx>
      <c:valAx>
        <c:axId val="139469184"/>
        <c:scaling>
          <c:orientation val="minMax"/>
        </c:scaling>
        <c:axPos val="l"/>
        <c:majorGridlines/>
        <c:numFmt formatCode="#,##0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393664"/>
        <c:crosses val="autoZero"/>
        <c:crossBetween val="between"/>
      </c:valAx>
      <c:spPr>
        <a:noFill/>
      </c:spPr>
    </c:plotArea>
    <c:legend>
      <c:legendPos val="r"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588" l="0.70000000000000162" r="0.70000000000000162" t="0.75000000000000588" header="0.30000000000000032" footer="0.30000000000000032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'Of. por Áreas (old)'!$B$19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(old)'!$C$19:$L$19</c:f>
              <c:numCache>
                <c:formatCode>#,##0</c:formatCode>
                <c:ptCount val="10"/>
                <c:pt idx="0">
                  <c:v>7290</c:v>
                </c:pt>
                <c:pt idx="1">
                  <c:v>7685</c:v>
                </c:pt>
                <c:pt idx="2">
                  <c:v>0</c:v>
                </c:pt>
                <c:pt idx="3">
                  <c:v>4390</c:v>
                </c:pt>
                <c:pt idx="4">
                  <c:v>4120</c:v>
                </c:pt>
                <c:pt idx="5">
                  <c:v>14045</c:v>
                </c:pt>
              </c:numCache>
            </c:numRef>
          </c:val>
        </c:ser>
        <c:ser>
          <c:idx val="1"/>
          <c:order val="1"/>
          <c:tx>
            <c:strRef>
              <c:f>'Of. por Áreas (old)'!$B$20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(old)'!$C$20:$L$20</c:f>
              <c:numCache>
                <c:formatCode>#,##0</c:formatCode>
                <c:ptCount val="10"/>
                <c:pt idx="0">
                  <c:v>17900</c:v>
                </c:pt>
                <c:pt idx="1">
                  <c:v>20240</c:v>
                </c:pt>
                <c:pt idx="2">
                  <c:v>17655</c:v>
                </c:pt>
                <c:pt idx="3">
                  <c:v>36700</c:v>
                </c:pt>
                <c:pt idx="4">
                  <c:v>21520</c:v>
                </c:pt>
                <c:pt idx="5">
                  <c:v>23277</c:v>
                </c:pt>
                <c:pt idx="6">
                  <c:v>22425</c:v>
                </c:pt>
                <c:pt idx="7">
                  <c:v>46115</c:v>
                </c:pt>
              </c:numCache>
            </c:numRef>
          </c:val>
        </c:ser>
        <c:ser>
          <c:idx val="2"/>
          <c:order val="2"/>
          <c:tx>
            <c:strRef>
              <c:f>'Of. por Áreas (old)'!$B$21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(old)'!$C$21:$L$21</c:f>
              <c:numCache>
                <c:formatCode>#,##0</c:formatCode>
                <c:ptCount val="10"/>
                <c:pt idx="0">
                  <c:v>25410</c:v>
                </c:pt>
                <c:pt idx="1">
                  <c:v>10985</c:v>
                </c:pt>
                <c:pt idx="2">
                  <c:v>8915</c:v>
                </c:pt>
                <c:pt idx="3">
                  <c:v>26180</c:v>
                </c:pt>
                <c:pt idx="4">
                  <c:v>13860</c:v>
                </c:pt>
                <c:pt idx="5">
                  <c:v>23230</c:v>
                </c:pt>
                <c:pt idx="6">
                  <c:v>59315</c:v>
                </c:pt>
                <c:pt idx="7">
                  <c:v>30980</c:v>
                </c:pt>
              </c:numCache>
            </c:numRef>
          </c:val>
        </c:ser>
        <c:ser>
          <c:idx val="3"/>
          <c:order val="3"/>
          <c:tx>
            <c:strRef>
              <c:f>'Of. por Áreas (old)'!$B$22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(old)'!$C$22:$L$22</c:f>
              <c:numCache>
                <c:formatCode>#,##0</c:formatCode>
                <c:ptCount val="10"/>
                <c:pt idx="0">
                  <c:v>1230</c:v>
                </c:pt>
                <c:pt idx="1">
                  <c:v>1095</c:v>
                </c:pt>
                <c:pt idx="2">
                  <c:v>1845</c:v>
                </c:pt>
                <c:pt idx="3">
                  <c:v>2655</c:v>
                </c:pt>
                <c:pt idx="4">
                  <c:v>7320</c:v>
                </c:pt>
                <c:pt idx="5">
                  <c:v>15225</c:v>
                </c:pt>
                <c:pt idx="6">
                  <c:v>4240</c:v>
                </c:pt>
                <c:pt idx="7">
                  <c:v>4855</c:v>
                </c:pt>
              </c:numCache>
            </c:numRef>
          </c:val>
        </c:ser>
        <c:ser>
          <c:idx val="4"/>
          <c:order val="4"/>
          <c:tx>
            <c:strRef>
              <c:f>'Of. por Áreas (old)'!$B$23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(old)'!$C$23:$L$23</c:f>
              <c:numCache>
                <c:formatCode>#,##0</c:formatCode>
                <c:ptCount val="10"/>
                <c:pt idx="0">
                  <c:v>31910</c:v>
                </c:pt>
                <c:pt idx="1">
                  <c:v>46850</c:v>
                </c:pt>
                <c:pt idx="2">
                  <c:v>5205</c:v>
                </c:pt>
                <c:pt idx="3">
                  <c:v>8130</c:v>
                </c:pt>
                <c:pt idx="4">
                  <c:v>6255</c:v>
                </c:pt>
                <c:pt idx="7">
                  <c:v>890</c:v>
                </c:pt>
              </c:numCache>
            </c:numRef>
          </c:val>
        </c:ser>
        <c:ser>
          <c:idx val="5"/>
          <c:order val="5"/>
          <c:tx>
            <c:strRef>
              <c:f>'Of. por Áreas (old)'!$B$24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(old)'!$C$24:$L$24</c:f>
              <c:numCache>
                <c:formatCode>#,##0</c:formatCode>
                <c:ptCount val="10"/>
                <c:pt idx="0">
                  <c:v>10833</c:v>
                </c:pt>
                <c:pt idx="1">
                  <c:v>6935</c:v>
                </c:pt>
                <c:pt idx="2">
                  <c:v>3550</c:v>
                </c:pt>
                <c:pt idx="3">
                  <c:v>6900</c:v>
                </c:pt>
                <c:pt idx="4">
                  <c:v>21875</c:v>
                </c:pt>
                <c:pt idx="5">
                  <c:v>6580</c:v>
                </c:pt>
                <c:pt idx="6">
                  <c:v>4705</c:v>
                </c:pt>
                <c:pt idx="7">
                  <c:v>2880</c:v>
                </c:pt>
              </c:numCache>
            </c:numRef>
          </c:val>
        </c:ser>
        <c:ser>
          <c:idx val="6"/>
          <c:order val="6"/>
          <c:tx>
            <c:strRef>
              <c:f>'Of. por Áreas (old)'!$B$25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'Of. por Áreas (old)'!$C$7:$L$7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(old)'!$C$25:$L$25</c:f>
              <c:numCache>
                <c:formatCode>#,##0</c:formatCode>
                <c:ptCount val="10"/>
                <c:pt idx="0">
                  <c:v>36925</c:v>
                </c:pt>
                <c:pt idx="1">
                  <c:v>37530</c:v>
                </c:pt>
                <c:pt idx="2">
                  <c:v>22460</c:v>
                </c:pt>
                <c:pt idx="3">
                  <c:v>57990</c:v>
                </c:pt>
                <c:pt idx="4">
                  <c:v>57070</c:v>
                </c:pt>
                <c:pt idx="5">
                  <c:v>38490</c:v>
                </c:pt>
                <c:pt idx="6">
                  <c:v>41990</c:v>
                </c:pt>
                <c:pt idx="7">
                  <c:v>37755</c:v>
                </c:pt>
              </c:numCache>
            </c:numRef>
          </c:val>
        </c:ser>
        <c:gapWidth val="35"/>
        <c:overlap val="100"/>
        <c:axId val="139538816"/>
        <c:axId val="139540352"/>
      </c:barChart>
      <c:catAx>
        <c:axId val="139538816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540352"/>
        <c:crosses val="autoZero"/>
        <c:auto val="1"/>
        <c:lblAlgn val="ctr"/>
        <c:lblOffset val="100"/>
      </c:catAx>
      <c:valAx>
        <c:axId val="139540352"/>
        <c:scaling>
          <c:orientation val="minMax"/>
        </c:scaling>
        <c:axPos val="l"/>
        <c:majorGridlines/>
        <c:numFmt formatCode="#,##0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538816"/>
        <c:crosses val="autoZero"/>
        <c:crossBetween val="between"/>
      </c:valAx>
      <c:spPr>
        <a:noFill/>
      </c:spPr>
    </c:plotArea>
    <c:legend>
      <c:legendPos val="r"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611" l="0.70000000000000162" r="0.70000000000000162" t="0.75000000000000611" header="0.30000000000000032" footer="0.30000000000000032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'Of. por Áreas (old)'!$B$34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(old)'!$C$34:$L$34</c:f>
              <c:numCache>
                <c:formatCode>General</c:formatCode>
                <c:ptCount val="10"/>
                <c:pt idx="0">
                  <c:v>20</c:v>
                </c:pt>
                <c:pt idx="1">
                  <c:v>10</c:v>
                </c:pt>
                <c:pt idx="2">
                  <c:v>13</c:v>
                </c:pt>
                <c:pt idx="3">
                  <c:v>169</c:v>
                </c:pt>
                <c:pt idx="4">
                  <c:v>87</c:v>
                </c:pt>
                <c:pt idx="5">
                  <c:v>23</c:v>
                </c:pt>
                <c:pt idx="6">
                  <c:v>3</c:v>
                </c:pt>
                <c:pt idx="7">
                  <c:v>1</c:v>
                </c:pt>
              </c:numCache>
            </c:numRef>
          </c:val>
        </c:ser>
        <c:ser>
          <c:idx val="1"/>
          <c:order val="1"/>
          <c:tx>
            <c:strRef>
              <c:f>'Of. por Áreas (old)'!$B$35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(old)'!$C$35:$L$35</c:f>
              <c:numCache>
                <c:formatCode>General</c:formatCode>
                <c:ptCount val="10"/>
                <c:pt idx="0">
                  <c:v>85</c:v>
                </c:pt>
                <c:pt idx="1">
                  <c:v>106</c:v>
                </c:pt>
                <c:pt idx="2">
                  <c:v>90</c:v>
                </c:pt>
                <c:pt idx="3">
                  <c:v>58</c:v>
                </c:pt>
                <c:pt idx="4">
                  <c:v>60</c:v>
                </c:pt>
                <c:pt idx="5">
                  <c:v>97</c:v>
                </c:pt>
                <c:pt idx="6">
                  <c:v>79</c:v>
                </c:pt>
                <c:pt idx="7">
                  <c:v>71</c:v>
                </c:pt>
              </c:numCache>
            </c:numRef>
          </c:val>
        </c:ser>
        <c:ser>
          <c:idx val="2"/>
          <c:order val="2"/>
          <c:tx>
            <c:strRef>
              <c:f>'Of. por Áreas (old)'!$B$36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(old)'!$C$36:$L$36</c:f>
              <c:numCache>
                <c:formatCode>General</c:formatCode>
                <c:ptCount val="10"/>
                <c:pt idx="0">
                  <c:v>78</c:v>
                </c:pt>
                <c:pt idx="1">
                  <c:v>64</c:v>
                </c:pt>
                <c:pt idx="2">
                  <c:v>105</c:v>
                </c:pt>
                <c:pt idx="3">
                  <c:v>28</c:v>
                </c:pt>
                <c:pt idx="4">
                  <c:v>29</c:v>
                </c:pt>
                <c:pt idx="5">
                  <c:v>39</c:v>
                </c:pt>
                <c:pt idx="6">
                  <c:v>46</c:v>
                </c:pt>
                <c:pt idx="7">
                  <c:v>20</c:v>
                </c:pt>
              </c:numCache>
            </c:numRef>
          </c:val>
        </c:ser>
        <c:ser>
          <c:idx val="3"/>
          <c:order val="3"/>
          <c:tx>
            <c:strRef>
              <c:f>'Of. por Áreas (old)'!$B$37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rgbClr val="4F81BD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(old)'!$C$37:$L$37</c:f>
              <c:numCache>
                <c:formatCode>General</c:formatCode>
                <c:ptCount val="10"/>
                <c:pt idx="0">
                  <c:v>14</c:v>
                </c:pt>
                <c:pt idx="1">
                  <c:v>16</c:v>
                </c:pt>
                <c:pt idx="2">
                  <c:v>17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21</c:v>
                </c:pt>
                <c:pt idx="7">
                  <c:v>12</c:v>
                </c:pt>
              </c:numCache>
            </c:numRef>
          </c:val>
        </c:ser>
        <c:ser>
          <c:idx val="4"/>
          <c:order val="4"/>
          <c:tx>
            <c:strRef>
              <c:f>'Of. por Áreas (old)'!$B$38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(old)'!$C$38:$L$38</c:f>
              <c:numCache>
                <c:formatCode>General</c:formatCode>
                <c:ptCount val="10"/>
                <c:pt idx="0">
                  <c:v>17</c:v>
                </c:pt>
                <c:pt idx="1">
                  <c:v>15</c:v>
                </c:pt>
                <c:pt idx="2">
                  <c:v>17</c:v>
                </c:pt>
                <c:pt idx="3">
                  <c:v>11</c:v>
                </c:pt>
                <c:pt idx="4">
                  <c:v>13</c:v>
                </c:pt>
                <c:pt idx="5">
                  <c:v>19</c:v>
                </c:pt>
                <c:pt idx="6">
                  <c:v>16</c:v>
                </c:pt>
                <c:pt idx="7">
                  <c:v>1</c:v>
                </c:pt>
              </c:numCache>
            </c:numRef>
          </c:val>
        </c:ser>
        <c:ser>
          <c:idx val="5"/>
          <c:order val="5"/>
          <c:tx>
            <c:strRef>
              <c:f>'Of. por Áreas (old)'!$B$39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(old)'!$C$39:$L$39</c:f>
              <c:numCache>
                <c:formatCode>General</c:formatCode>
                <c:ptCount val="10"/>
                <c:pt idx="0">
                  <c:v>33</c:v>
                </c:pt>
                <c:pt idx="1">
                  <c:v>14</c:v>
                </c:pt>
                <c:pt idx="2">
                  <c:v>22</c:v>
                </c:pt>
                <c:pt idx="3">
                  <c:v>13</c:v>
                </c:pt>
                <c:pt idx="4">
                  <c:v>16</c:v>
                </c:pt>
                <c:pt idx="5">
                  <c:v>32</c:v>
                </c:pt>
                <c:pt idx="6">
                  <c:v>43</c:v>
                </c:pt>
                <c:pt idx="7">
                  <c:v>15</c:v>
                </c:pt>
              </c:numCache>
            </c:numRef>
          </c:val>
        </c:ser>
        <c:ser>
          <c:idx val="6"/>
          <c:order val="6"/>
          <c:tx>
            <c:strRef>
              <c:f>'Of. por Áreas (old)'!$B$40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(old)'!$C$40:$L$40</c:f>
              <c:numCache>
                <c:formatCode>General</c:formatCode>
                <c:ptCount val="10"/>
                <c:pt idx="0">
                  <c:v>43</c:v>
                </c:pt>
                <c:pt idx="1">
                  <c:v>54</c:v>
                </c:pt>
                <c:pt idx="2">
                  <c:v>60</c:v>
                </c:pt>
                <c:pt idx="3">
                  <c:v>48</c:v>
                </c:pt>
                <c:pt idx="4">
                  <c:v>39</c:v>
                </c:pt>
                <c:pt idx="5">
                  <c:v>60</c:v>
                </c:pt>
                <c:pt idx="6">
                  <c:v>80</c:v>
                </c:pt>
                <c:pt idx="7">
                  <c:v>65</c:v>
                </c:pt>
              </c:numCache>
            </c:numRef>
          </c:val>
        </c:ser>
        <c:gapWidth val="35"/>
        <c:overlap val="100"/>
        <c:axId val="139573504"/>
        <c:axId val="139599872"/>
      </c:barChart>
      <c:catAx>
        <c:axId val="139573504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599872"/>
        <c:crosses val="autoZero"/>
        <c:auto val="1"/>
        <c:lblAlgn val="ctr"/>
        <c:lblOffset val="100"/>
      </c:catAx>
      <c:valAx>
        <c:axId val="139599872"/>
        <c:scaling>
          <c:orientation val="minMax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573504"/>
        <c:crosses val="autoZero"/>
        <c:crossBetween val="between"/>
      </c:valAx>
      <c:spPr>
        <a:noFill/>
      </c:spPr>
    </c:plotArea>
    <c:legend>
      <c:legendPos val="r"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655" l="0.70000000000000162" r="0.70000000000000162" t="0.75000000000000655" header="0.30000000000000032" footer="0.30000000000000032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chart>
    <c:plotArea>
      <c:layout/>
      <c:barChart>
        <c:barDir val="col"/>
        <c:grouping val="stacked"/>
        <c:ser>
          <c:idx val="0"/>
          <c:order val="0"/>
          <c:tx>
            <c:strRef>
              <c:f>'Of. por Áreas (old)'!$B$45</c:f>
              <c:strCache>
                <c:ptCount val="1"/>
                <c:pt idx="0">
                  <c:v>N/D</c:v>
                </c:pt>
              </c:strCache>
            </c:strRef>
          </c:tx>
          <c:spPr>
            <a:solidFill>
              <a:srgbClr val="FE6700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(old)'!$C$45:$L$45</c:f>
              <c:numCache>
                <c:formatCode>General</c:formatCode>
                <c:ptCount val="10"/>
                <c:pt idx="0">
                  <c:v>8</c:v>
                </c:pt>
                <c:pt idx="1">
                  <c:v>5</c:v>
                </c:pt>
                <c:pt idx="2">
                  <c:v>1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</c:numCache>
            </c:numRef>
          </c:val>
        </c:ser>
        <c:ser>
          <c:idx val="1"/>
          <c:order val="1"/>
          <c:tx>
            <c:strRef>
              <c:f>'Of. por Áreas (old)'!$B$46</c:f>
              <c:strCache>
                <c:ptCount val="1"/>
                <c:pt idx="0">
                  <c:v>A1</c:v>
                </c:pt>
              </c:strCache>
            </c:strRef>
          </c:tx>
          <c:spPr>
            <a:solidFill>
              <a:srgbClr val="2B4E61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(old)'!$C$46:$L$46</c:f>
              <c:numCache>
                <c:formatCode>General</c:formatCode>
                <c:ptCount val="10"/>
                <c:pt idx="0">
                  <c:v>20</c:v>
                </c:pt>
                <c:pt idx="1">
                  <c:v>34</c:v>
                </c:pt>
                <c:pt idx="2">
                  <c:v>17</c:v>
                </c:pt>
                <c:pt idx="3">
                  <c:v>40</c:v>
                </c:pt>
                <c:pt idx="4">
                  <c:v>49</c:v>
                </c:pt>
                <c:pt idx="5">
                  <c:v>45</c:v>
                </c:pt>
                <c:pt idx="6">
                  <c:v>43</c:v>
                </c:pt>
                <c:pt idx="7">
                  <c:v>45</c:v>
                </c:pt>
              </c:numCache>
            </c:numRef>
          </c:val>
        </c:ser>
        <c:ser>
          <c:idx val="2"/>
          <c:order val="2"/>
          <c:tx>
            <c:strRef>
              <c:f>'Of. por Áreas (old)'!$B$47</c:f>
              <c:strCache>
                <c:ptCount val="1"/>
                <c:pt idx="0">
                  <c:v>A2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(old)'!$C$47:$L$47</c:f>
              <c:numCache>
                <c:formatCode>General</c:formatCode>
                <c:ptCount val="10"/>
                <c:pt idx="0">
                  <c:v>41</c:v>
                </c:pt>
                <c:pt idx="1">
                  <c:v>22</c:v>
                </c:pt>
                <c:pt idx="2">
                  <c:v>19</c:v>
                </c:pt>
                <c:pt idx="3">
                  <c:v>37</c:v>
                </c:pt>
                <c:pt idx="4">
                  <c:v>24</c:v>
                </c:pt>
                <c:pt idx="5">
                  <c:v>32</c:v>
                </c:pt>
                <c:pt idx="6">
                  <c:v>43</c:v>
                </c:pt>
                <c:pt idx="7">
                  <c:v>34</c:v>
                </c:pt>
              </c:numCache>
            </c:numRef>
          </c:val>
        </c:ser>
        <c:ser>
          <c:idx val="3"/>
          <c:order val="3"/>
          <c:tx>
            <c:strRef>
              <c:f>'Of. por Áreas (old)'!$B$48</c:f>
              <c:strCache>
                <c:ptCount val="1"/>
                <c:pt idx="0">
                  <c:v>A3</c:v>
                </c:pt>
              </c:strCache>
            </c:strRef>
          </c:tx>
          <c:spPr>
            <a:solidFill>
              <a:schemeClr val="accent1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(old)'!$C$48:$L$48</c:f>
              <c:numCache>
                <c:formatCode>General</c:formatCode>
                <c:ptCount val="10"/>
                <c:pt idx="0">
                  <c:v>2</c:v>
                </c:pt>
                <c:pt idx="1">
                  <c:v>7</c:v>
                </c:pt>
                <c:pt idx="2">
                  <c:v>2</c:v>
                </c:pt>
                <c:pt idx="3">
                  <c:v>4</c:v>
                </c:pt>
                <c:pt idx="4">
                  <c:v>6</c:v>
                </c:pt>
                <c:pt idx="5">
                  <c:v>9</c:v>
                </c:pt>
                <c:pt idx="6">
                  <c:v>7</c:v>
                </c:pt>
                <c:pt idx="7">
                  <c:v>10</c:v>
                </c:pt>
              </c:numCache>
            </c:numRef>
          </c:val>
        </c:ser>
        <c:ser>
          <c:idx val="4"/>
          <c:order val="4"/>
          <c:tx>
            <c:strRef>
              <c:f>'Of. por Áreas (old)'!$B$49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chemeClr val="tx1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(old)'!$C$49:$L$49</c:f>
              <c:numCache>
                <c:formatCode>General</c:formatCode>
                <c:ptCount val="10"/>
                <c:pt idx="0">
                  <c:v>8</c:v>
                </c:pt>
                <c:pt idx="1">
                  <c:v>6</c:v>
                </c:pt>
                <c:pt idx="2">
                  <c:v>7</c:v>
                </c:pt>
                <c:pt idx="3">
                  <c:v>5</c:v>
                </c:pt>
                <c:pt idx="4">
                  <c:v>2</c:v>
                </c:pt>
                <c:pt idx="7">
                  <c:v>1</c:v>
                </c:pt>
              </c:numCache>
            </c:numRef>
          </c:val>
        </c:ser>
        <c:ser>
          <c:idx val="5"/>
          <c:order val="5"/>
          <c:tx>
            <c:strRef>
              <c:f>'Of. por Áreas (old)'!$B$50</c:f>
              <c:strCache>
                <c:ptCount val="1"/>
                <c:pt idx="0">
                  <c:v>PRIME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(old)'!$C$50:$L$50</c:f>
              <c:numCache>
                <c:formatCode>General</c:formatCode>
                <c:ptCount val="10"/>
                <c:pt idx="0">
                  <c:v>27</c:v>
                </c:pt>
                <c:pt idx="1">
                  <c:v>20</c:v>
                </c:pt>
                <c:pt idx="2">
                  <c:v>11</c:v>
                </c:pt>
                <c:pt idx="3">
                  <c:v>22</c:v>
                </c:pt>
                <c:pt idx="4">
                  <c:v>15</c:v>
                </c:pt>
                <c:pt idx="5">
                  <c:v>17</c:v>
                </c:pt>
                <c:pt idx="6">
                  <c:v>15</c:v>
                </c:pt>
                <c:pt idx="7">
                  <c:v>11</c:v>
                </c:pt>
              </c:numCache>
            </c:numRef>
          </c:val>
        </c:ser>
        <c:ser>
          <c:idx val="6"/>
          <c:order val="6"/>
          <c:tx>
            <c:strRef>
              <c:f>'Of. por Áreas (old)'!$B$51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bg1"/>
            </a:solidFill>
          </c:spPr>
          <c:cat>
            <c:numRef>
              <c:f>'Of. por Áreas (old)'!$C$33:$L$33</c:f>
              <c:numCache>
                <c:formatCode>General</c:formatCode>
                <c:ptCount val="10"/>
                <c:pt idx="0">
                  <c:v>2005</c:v>
                </c:pt>
                <c:pt idx="1">
                  <c:v>2006</c:v>
                </c:pt>
                <c:pt idx="2">
                  <c:v>2007</c:v>
                </c:pt>
                <c:pt idx="3">
                  <c:v>2008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</c:numCache>
            </c:numRef>
          </c:cat>
          <c:val>
            <c:numRef>
              <c:f>'Of. por Áreas (old)'!$C$51:$L$51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15</c:v>
                </c:pt>
                <c:pt idx="3">
                  <c:v>39</c:v>
                </c:pt>
                <c:pt idx="4">
                  <c:v>39</c:v>
                </c:pt>
                <c:pt idx="5">
                  <c:v>25</c:v>
                </c:pt>
                <c:pt idx="6">
                  <c:v>46</c:v>
                </c:pt>
                <c:pt idx="7">
                  <c:v>38</c:v>
                </c:pt>
              </c:numCache>
            </c:numRef>
          </c:val>
        </c:ser>
        <c:gapWidth val="35"/>
        <c:overlap val="100"/>
        <c:axId val="139640832"/>
        <c:axId val="139642368"/>
      </c:barChart>
      <c:catAx>
        <c:axId val="139640832"/>
        <c:scaling>
          <c:orientation val="minMax"/>
        </c:scaling>
        <c:axPos val="b"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642368"/>
        <c:crosses val="autoZero"/>
        <c:auto val="1"/>
        <c:lblAlgn val="ctr"/>
        <c:lblOffset val="100"/>
      </c:catAx>
      <c:valAx>
        <c:axId val="139642368"/>
        <c:scaling>
          <c:orientation val="minMax"/>
          <c:max val="180"/>
        </c:scaling>
        <c:axPos val="l"/>
        <c:majorGridlines/>
        <c:numFmt formatCode="General" sourceLinked="1"/>
        <c:tickLblPos val="nextTo"/>
        <c:txPr>
          <a:bodyPr/>
          <a:lstStyle/>
          <a:p>
            <a:pPr>
              <a:defRPr lang="es-ES" b="1">
                <a:latin typeface="Helvetica"/>
                <a:cs typeface="Helvetica"/>
              </a:defRPr>
            </a:pPr>
            <a:endParaRPr lang="es-ES"/>
          </a:p>
        </c:txPr>
        <c:crossAx val="139640832"/>
        <c:crosses val="autoZero"/>
        <c:crossBetween val="between"/>
      </c:valAx>
      <c:spPr>
        <a:noFill/>
      </c:spPr>
    </c:plotArea>
    <c:legend>
      <c:legendPos val="r"/>
      <c:txPr>
        <a:bodyPr/>
        <a:lstStyle/>
        <a:p>
          <a:pPr>
            <a:defRPr lang="es-ES" b="1">
              <a:latin typeface="Helvetica"/>
              <a:cs typeface="Helvetica"/>
            </a:defRPr>
          </a:pPr>
          <a:endParaRPr lang="es-ES"/>
        </a:p>
      </c:txPr>
    </c:legend>
    <c:plotVisOnly val="1"/>
  </c:chart>
  <c:spPr>
    <a:noFill/>
    <a:ln>
      <a:noFill/>
    </a:ln>
  </c:spPr>
  <c:printSettings>
    <c:headerFooter/>
    <c:pageMargins b="0.75000000000000677" l="0.70000000000000162" r="0.70000000000000162" t="0.75000000000000677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5</xdr:row>
      <xdr:rowOff>38100</xdr:rowOff>
    </xdr:from>
    <xdr:to>
      <xdr:col>13</xdr:col>
      <xdr:colOff>309374</xdr:colOff>
      <xdr:row>27</xdr:row>
      <xdr:rowOff>75750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0.82134</cdr:x>
      <cdr:y>0.05556</cdr:y>
    </cdr:from>
    <cdr:to>
      <cdr:x>0.97683</cdr:x>
      <cdr:y>0.13758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6238863" y="200022"/>
          <a:ext cx="1181113" cy="29527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1000">
              <a:solidFill>
                <a:schemeClr val="bg1"/>
              </a:solidFill>
            </a:rPr>
            <a:t>Fuente:  Cinco Días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499382</xdr:colOff>
      <xdr:row>2</xdr:row>
      <xdr:rowOff>0</xdr:rowOff>
    </xdr:from>
    <xdr:to>
      <xdr:col>17</xdr:col>
      <xdr:colOff>706703</xdr:colOff>
      <xdr:row>24</xdr:row>
      <xdr:rowOff>7714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66674</xdr:colOff>
      <xdr:row>29</xdr:row>
      <xdr:rowOff>119743</xdr:rowOff>
    </xdr:from>
    <xdr:to>
      <xdr:col>18</xdr:col>
      <xdr:colOff>42674</xdr:colOff>
      <xdr:row>51</xdr:row>
      <xdr:rowOff>158754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0.12677</cdr:x>
      <cdr:y>0</cdr:y>
    </cdr:from>
    <cdr:to>
      <cdr:x>0.70811</cdr:x>
      <cdr:y>0.13229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1133475" y="0"/>
          <a:ext cx="5197929" cy="4802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s-ES" sz="2400" b="1">
              <a:solidFill>
                <a:schemeClr val="bg1"/>
              </a:solidFill>
            </a:rPr>
            <a:t>Mercado de Vivienda</a:t>
          </a:r>
          <a:r>
            <a:rPr lang="es-ES" sz="2400" b="1" baseline="0">
              <a:solidFill>
                <a:schemeClr val="bg1"/>
              </a:solidFill>
            </a:rPr>
            <a:t> Residencial</a:t>
          </a:r>
          <a:endParaRPr lang="es-ES" sz="2400" b="1">
            <a:solidFill>
              <a:schemeClr val="bg1"/>
            </a:solidFill>
          </a:endParaRPr>
        </a:p>
      </cdr:txBody>
    </cdr:sp>
  </cdr:relSizeAnchor>
  <cdr:relSizeAnchor xmlns:cdr="http://schemas.openxmlformats.org/drawingml/2006/chartDrawing">
    <cdr:from>
      <cdr:x>0.82338</cdr:x>
      <cdr:y>0.02134</cdr:y>
    </cdr:from>
    <cdr:to>
      <cdr:x>1</cdr:x>
      <cdr:y>0.16008</cdr:y>
    </cdr:to>
    <cdr:sp macro="" textlink="">
      <cdr:nvSpPr>
        <cdr:cNvPr id="3" name="1 CuadroTexto"/>
        <cdr:cNvSpPr txBox="1"/>
      </cdr:nvSpPr>
      <cdr:spPr>
        <a:xfrm xmlns:a="http://schemas.openxmlformats.org/drawingml/2006/main">
          <a:off x="6225269" y="76200"/>
          <a:ext cx="1335352" cy="49529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ES" sz="900">
              <a:solidFill>
                <a:sysClr val="window" lastClr="FFFFFF"/>
              </a:solidFill>
            </a:rPr>
            <a:t>Fuentes: </a:t>
          </a:r>
        </a:p>
        <a:p xmlns:a="http://schemas.openxmlformats.org/drawingml/2006/main">
          <a:r>
            <a:rPr lang="es-ES" sz="900">
              <a:solidFill>
                <a:sysClr val="window" lastClr="FFFFFF"/>
              </a:solidFill>
            </a:rPr>
            <a:t>Sociedad de Tasación</a:t>
          </a:r>
        </a:p>
        <a:p xmlns:a="http://schemas.openxmlformats.org/drawingml/2006/main">
          <a:r>
            <a:rPr lang="es-ES" sz="900">
              <a:solidFill>
                <a:sysClr val="window" lastClr="FFFFFF"/>
              </a:solidFill>
            </a:rPr>
            <a:t>Ins. Práctica Empresarial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0.83495</cdr:x>
      <cdr:y>0.22532</cdr:y>
    </cdr:from>
    <cdr:to>
      <cdr:x>0.98059</cdr:x>
      <cdr:y>0.31177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6342291" y="818210"/>
          <a:ext cx="1106272" cy="3139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s-ES" sz="900">
              <a:solidFill>
                <a:sysClr val="window" lastClr="FFFFFF"/>
              </a:solidFill>
            </a:rPr>
            <a:t>Fuente:  Expocasa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5</xdr:row>
      <xdr:rowOff>38100</xdr:rowOff>
    </xdr:from>
    <xdr:to>
      <xdr:col>16</xdr:col>
      <xdr:colOff>309374</xdr:colOff>
      <xdr:row>27</xdr:row>
      <xdr:rowOff>75750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333375</xdr:colOff>
      <xdr:row>43</xdr:row>
      <xdr:rowOff>0</xdr:rowOff>
    </xdr:from>
    <xdr:to>
      <xdr:col>16</xdr:col>
      <xdr:colOff>414150</xdr:colOff>
      <xdr:row>65</xdr:row>
      <xdr:rowOff>37650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0.80378</cdr:x>
      <cdr:y>0.05027</cdr:y>
    </cdr:from>
    <cdr:to>
      <cdr:x>0.99438</cdr:x>
      <cdr:y>0.17727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6105526" y="180973"/>
          <a:ext cx="1447799" cy="45720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900">
              <a:solidFill>
                <a:schemeClr val="bg1"/>
              </a:solidFill>
            </a:rPr>
            <a:t>Fuente: </a:t>
          </a:r>
        </a:p>
        <a:p xmlns:a="http://schemas.openxmlformats.org/drawingml/2006/main">
          <a:r>
            <a:rPr lang="es-ES" sz="900">
              <a:solidFill>
                <a:schemeClr val="bg1"/>
              </a:solidFill>
            </a:rPr>
            <a:t>Ministerio de Fomento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0.73732</cdr:x>
      <cdr:y>0.05027</cdr:y>
    </cdr:from>
    <cdr:to>
      <cdr:x>0.92792</cdr:x>
      <cdr:y>0.17727</cdr:y>
    </cdr:to>
    <cdr:sp macro="" textlink="">
      <cdr:nvSpPr>
        <cdr:cNvPr id="2" name="1 CuadroTexto"/>
        <cdr:cNvSpPr txBox="1"/>
      </cdr:nvSpPr>
      <cdr:spPr>
        <a:xfrm xmlns:a="http://schemas.openxmlformats.org/drawingml/2006/main">
          <a:off x="5600688" y="180972"/>
          <a:ext cx="1447797" cy="4572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s-ES" sz="900">
              <a:solidFill>
                <a:schemeClr val="bg1"/>
              </a:solidFill>
            </a:rPr>
            <a:t>Fuente: </a:t>
          </a:r>
        </a:p>
        <a:p xmlns:a="http://schemas.openxmlformats.org/drawingml/2006/main">
          <a:r>
            <a:rPr lang="es-ES" sz="900">
              <a:solidFill>
                <a:schemeClr val="bg1"/>
              </a:solidFill>
            </a:rPr>
            <a:t>Ministerio de Fomento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300714</xdr:colOff>
      <xdr:row>5</xdr:row>
      <xdr:rowOff>68035</xdr:rowOff>
    </xdr:from>
    <xdr:to>
      <xdr:col>20</xdr:col>
      <xdr:colOff>435428</xdr:colOff>
      <xdr:row>15</xdr:row>
      <xdr:rowOff>108857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250372</xdr:colOff>
      <xdr:row>16</xdr:row>
      <xdr:rowOff>157389</xdr:rowOff>
    </xdr:from>
    <xdr:to>
      <xdr:col>20</xdr:col>
      <xdr:colOff>517071</xdr:colOff>
      <xdr:row>26</xdr:row>
      <xdr:rowOff>163286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438149</xdr:colOff>
      <xdr:row>31</xdr:row>
      <xdr:rowOff>170996</xdr:rowOff>
    </xdr:from>
    <xdr:to>
      <xdr:col>20</xdr:col>
      <xdr:colOff>598714</xdr:colOff>
      <xdr:row>41</xdr:row>
      <xdr:rowOff>68037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405492</xdr:colOff>
      <xdr:row>42</xdr:row>
      <xdr:rowOff>270782</xdr:rowOff>
    </xdr:from>
    <xdr:to>
      <xdr:col>20</xdr:col>
      <xdr:colOff>707571</xdr:colOff>
      <xdr:row>51</xdr:row>
      <xdr:rowOff>122464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/>
  <dimension ref="B2:N30"/>
  <sheetViews>
    <sheetView workbookViewId="0">
      <selection activeCell="O7" sqref="O7"/>
    </sheetView>
  </sheetViews>
  <sheetFormatPr baseColWidth="10" defaultRowHeight="12.75"/>
  <cols>
    <col min="1" max="1" width="6.7109375" style="34" customWidth="1"/>
    <col min="2" max="2" width="7.5703125" style="34" bestFit="1" customWidth="1"/>
    <col min="3" max="3" width="8.7109375" style="44" customWidth="1"/>
    <col min="4" max="4" width="8.42578125" style="34" customWidth="1"/>
    <col min="5" max="5" width="6.28515625" style="34" customWidth="1"/>
    <col min="6" max="12" width="14.140625" style="34" customWidth="1"/>
    <col min="13" max="13" width="13.7109375" style="34" customWidth="1"/>
    <col min="14" max="14" width="12.42578125" style="34" customWidth="1"/>
    <col min="15" max="15" width="12.85546875" style="34" customWidth="1"/>
    <col min="16" max="16384" width="11.42578125" style="34"/>
  </cols>
  <sheetData>
    <row r="2" spans="2:14">
      <c r="B2" s="34" t="s">
        <v>134</v>
      </c>
    </row>
    <row r="4" spans="2:14">
      <c r="B4" s="43" t="s">
        <v>133</v>
      </c>
      <c r="C4" s="45" t="s">
        <v>3</v>
      </c>
    </row>
    <row r="5" spans="2:14">
      <c r="B5" s="40">
        <v>2002</v>
      </c>
      <c r="C5" s="46">
        <v>6.5</v>
      </c>
      <c r="F5" s="29"/>
      <c r="G5" s="29"/>
      <c r="H5" s="29"/>
      <c r="I5" s="29"/>
      <c r="J5" s="29"/>
      <c r="K5" s="29"/>
      <c r="L5" s="29"/>
      <c r="M5" s="29"/>
      <c r="N5" s="29"/>
    </row>
    <row r="6" spans="2:14">
      <c r="B6" s="40">
        <v>2003</v>
      </c>
      <c r="C6" s="46">
        <v>6</v>
      </c>
      <c r="F6" s="29"/>
      <c r="G6" s="29"/>
      <c r="H6" s="29"/>
      <c r="I6" s="29"/>
      <c r="J6" s="29"/>
      <c r="K6" s="29"/>
      <c r="L6" s="29"/>
      <c r="M6" s="29"/>
      <c r="N6" s="29"/>
    </row>
    <row r="7" spans="2:14">
      <c r="B7" s="40">
        <v>2004</v>
      </c>
      <c r="C7" s="46">
        <v>6</v>
      </c>
      <c r="F7" s="29"/>
      <c r="G7" s="29"/>
      <c r="H7" s="29"/>
      <c r="I7" s="29"/>
      <c r="J7" s="29"/>
      <c r="K7" s="29"/>
      <c r="L7" s="29"/>
      <c r="M7" s="29"/>
      <c r="N7" s="29"/>
    </row>
    <row r="8" spans="2:14">
      <c r="B8" s="40">
        <v>2005</v>
      </c>
      <c r="C8" s="46">
        <v>5.25</v>
      </c>
      <c r="F8" s="29"/>
      <c r="G8" s="29"/>
      <c r="H8" s="29"/>
      <c r="I8" s="29"/>
      <c r="J8" s="29"/>
      <c r="K8" s="29"/>
      <c r="L8" s="29"/>
      <c r="M8" s="29"/>
      <c r="N8" s="29"/>
    </row>
    <row r="9" spans="2:14">
      <c r="B9" s="40">
        <v>2006</v>
      </c>
      <c r="C9" s="46">
        <v>4.5</v>
      </c>
      <c r="F9" s="29"/>
      <c r="G9" s="29"/>
      <c r="H9" s="29"/>
      <c r="I9" s="29"/>
      <c r="J9" s="29"/>
      <c r="K9" s="29"/>
      <c r="L9" s="29"/>
      <c r="M9" s="29"/>
      <c r="N9" s="29"/>
    </row>
    <row r="10" spans="2:14">
      <c r="B10" s="40">
        <v>2007</v>
      </c>
      <c r="C10" s="46">
        <v>4.3499999999999996</v>
      </c>
      <c r="F10" s="29"/>
      <c r="G10" s="29"/>
      <c r="H10" s="29"/>
      <c r="I10" s="29"/>
      <c r="J10" s="29"/>
      <c r="K10" s="29"/>
      <c r="L10" s="29"/>
      <c r="M10" s="29"/>
      <c r="N10" s="29"/>
    </row>
    <row r="11" spans="2:14">
      <c r="B11" s="34">
        <v>2008</v>
      </c>
      <c r="C11" s="46">
        <v>6</v>
      </c>
      <c r="F11" s="29"/>
      <c r="G11" s="29"/>
      <c r="H11" s="29"/>
      <c r="I11" s="29"/>
      <c r="J11" s="29"/>
      <c r="K11" s="29"/>
      <c r="L11" s="29"/>
      <c r="M11" s="29"/>
      <c r="N11" s="29"/>
    </row>
    <row r="12" spans="2:14">
      <c r="B12" s="35">
        <v>2009</v>
      </c>
      <c r="C12" s="47">
        <v>6.5</v>
      </c>
      <c r="F12" s="29"/>
      <c r="G12" s="29"/>
      <c r="H12" s="29"/>
      <c r="I12" s="29"/>
      <c r="J12" s="29"/>
      <c r="K12" s="29"/>
      <c r="L12" s="29"/>
      <c r="M12" s="29"/>
      <c r="N12" s="29"/>
    </row>
    <row r="13" spans="2:14">
      <c r="B13" s="35">
        <v>2010</v>
      </c>
      <c r="C13" s="48">
        <v>6.25</v>
      </c>
      <c r="F13" s="29"/>
      <c r="G13" s="29"/>
      <c r="H13" s="29"/>
      <c r="I13" s="29"/>
      <c r="J13" s="29"/>
      <c r="K13" s="29"/>
      <c r="L13" s="29"/>
      <c r="M13" s="29"/>
      <c r="N13" s="29"/>
    </row>
    <row r="14" spans="2:14">
      <c r="B14" s="34">
        <v>2011</v>
      </c>
      <c r="C14" s="44">
        <v>6</v>
      </c>
      <c r="F14" s="29"/>
      <c r="G14" s="29"/>
      <c r="H14" s="29"/>
      <c r="I14" s="29"/>
      <c r="J14" s="29"/>
      <c r="K14" s="29"/>
      <c r="L14" s="29"/>
      <c r="M14" s="29"/>
      <c r="N14" s="29"/>
    </row>
    <row r="15" spans="2:14">
      <c r="B15" s="34">
        <v>2012</v>
      </c>
      <c r="C15" s="44">
        <v>6.7</v>
      </c>
      <c r="F15" s="29"/>
      <c r="G15" s="29"/>
      <c r="H15" s="29"/>
      <c r="I15" s="29"/>
      <c r="J15" s="29"/>
      <c r="K15" s="29"/>
      <c r="L15" s="29"/>
      <c r="M15" s="29"/>
      <c r="N15" s="29"/>
    </row>
    <row r="16" spans="2:14">
      <c r="B16" s="34">
        <v>2013</v>
      </c>
      <c r="C16" s="44">
        <v>6.5</v>
      </c>
      <c r="F16" s="29"/>
      <c r="G16" s="29"/>
      <c r="H16" s="29"/>
      <c r="I16" s="29"/>
      <c r="J16" s="29"/>
      <c r="K16" s="29"/>
      <c r="L16" s="29"/>
      <c r="M16" s="29"/>
      <c r="N16" s="29"/>
    </row>
    <row r="17" spans="2:14">
      <c r="B17" s="34">
        <v>2014</v>
      </c>
      <c r="C17" s="44">
        <v>5</v>
      </c>
      <c r="F17" s="29"/>
      <c r="G17" s="29"/>
      <c r="H17" s="29"/>
      <c r="I17" s="29"/>
      <c r="J17" s="29"/>
      <c r="K17" s="29"/>
      <c r="L17" s="29"/>
      <c r="M17" s="29"/>
      <c r="N17" s="29"/>
    </row>
    <row r="18" spans="2:14">
      <c r="C18" s="46"/>
      <c r="F18" s="29"/>
      <c r="G18" s="29"/>
      <c r="H18" s="29"/>
      <c r="I18" s="29"/>
      <c r="J18" s="29"/>
      <c r="K18" s="29"/>
      <c r="L18" s="29"/>
      <c r="M18" s="29"/>
      <c r="N18" s="29"/>
    </row>
    <row r="19" spans="2:14">
      <c r="F19" s="29"/>
      <c r="G19" s="29"/>
      <c r="H19" s="29"/>
      <c r="I19" s="29"/>
      <c r="J19" s="29"/>
      <c r="K19" s="29"/>
      <c r="L19" s="29"/>
      <c r="M19" s="29"/>
      <c r="N19" s="29"/>
    </row>
    <row r="20" spans="2:14">
      <c r="F20" s="29"/>
      <c r="G20" s="29"/>
      <c r="H20" s="29"/>
      <c r="I20" s="29"/>
      <c r="J20" s="29"/>
      <c r="K20" s="29"/>
      <c r="L20" s="29"/>
      <c r="M20" s="29"/>
      <c r="N20" s="29"/>
    </row>
    <row r="21" spans="2:14">
      <c r="F21" s="29"/>
      <c r="G21" s="29"/>
      <c r="H21" s="29"/>
      <c r="I21" s="29"/>
      <c r="J21" s="29"/>
      <c r="K21" s="29"/>
      <c r="L21" s="29"/>
      <c r="M21" s="29"/>
      <c r="N21" s="29"/>
    </row>
    <row r="22" spans="2:14">
      <c r="F22" s="29"/>
      <c r="G22" s="29"/>
      <c r="H22" s="29"/>
      <c r="I22" s="29"/>
      <c r="J22" s="29"/>
      <c r="K22" s="29"/>
      <c r="L22" s="29"/>
      <c r="M22" s="29"/>
      <c r="N22" s="29"/>
    </row>
    <row r="23" spans="2:14">
      <c r="F23" s="29"/>
      <c r="G23" s="29"/>
      <c r="H23" s="29"/>
      <c r="I23" s="29"/>
      <c r="J23" s="29"/>
      <c r="K23" s="29"/>
      <c r="L23" s="29"/>
      <c r="M23" s="29"/>
      <c r="N23" s="29"/>
    </row>
    <row r="24" spans="2:14">
      <c r="F24" s="29"/>
      <c r="G24" s="29"/>
      <c r="H24" s="29"/>
      <c r="I24" s="29"/>
      <c r="J24" s="29"/>
      <c r="K24" s="29"/>
      <c r="L24" s="29"/>
      <c r="M24" s="29"/>
      <c r="N24" s="29"/>
    </row>
    <row r="25" spans="2:14">
      <c r="F25" s="29"/>
      <c r="G25" s="29"/>
      <c r="H25" s="29"/>
      <c r="I25" s="29"/>
      <c r="J25" s="29"/>
      <c r="K25" s="29"/>
      <c r="L25" s="29"/>
      <c r="M25" s="29"/>
      <c r="N25" s="29"/>
    </row>
    <row r="26" spans="2:14">
      <c r="F26" s="29"/>
      <c r="G26" s="29"/>
      <c r="H26" s="29"/>
      <c r="I26" s="29"/>
      <c r="J26" s="29"/>
      <c r="K26" s="29"/>
      <c r="L26" s="29"/>
      <c r="M26" s="29"/>
      <c r="N26" s="29"/>
    </row>
    <row r="27" spans="2:14">
      <c r="F27" s="29"/>
      <c r="G27" s="29"/>
      <c r="H27" s="29"/>
      <c r="I27" s="29"/>
      <c r="J27" s="29"/>
      <c r="K27" s="29"/>
      <c r="L27" s="29"/>
      <c r="M27" s="29"/>
      <c r="N27" s="29"/>
    </row>
    <row r="28" spans="2:14">
      <c r="F28" s="29"/>
      <c r="G28" s="29"/>
      <c r="H28" s="29"/>
      <c r="I28" s="29"/>
      <c r="J28" s="29"/>
      <c r="K28" s="29"/>
      <c r="L28" s="29"/>
      <c r="M28" s="29"/>
      <c r="N28" s="29"/>
    </row>
    <row r="29" spans="2:14">
      <c r="F29" s="29"/>
      <c r="G29" s="29"/>
      <c r="H29" s="29"/>
      <c r="I29" s="29"/>
      <c r="J29" s="29"/>
      <c r="K29" s="29"/>
      <c r="L29" s="29"/>
      <c r="M29" s="29"/>
      <c r="N29" s="29"/>
    </row>
    <row r="30" spans="2:14">
      <c r="F30" s="29"/>
      <c r="G30" s="29"/>
      <c r="H30" s="29"/>
      <c r="I30" s="29"/>
      <c r="J30" s="29"/>
      <c r="K30" s="29"/>
      <c r="L30" s="29"/>
      <c r="M30" s="29"/>
      <c r="N30" s="29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W116"/>
  <sheetViews>
    <sheetView tabSelected="1" zoomScale="70" zoomScaleNormal="70" workbookViewId="0">
      <selection activeCell="E32" sqref="E32"/>
    </sheetView>
  </sheetViews>
  <sheetFormatPr baseColWidth="10" defaultRowHeight="12.75"/>
  <cols>
    <col min="1" max="1" width="7.28515625" customWidth="1"/>
    <col min="2" max="2" width="12" style="17" bestFit="1" customWidth="1"/>
    <col min="3" max="3" width="11.140625" style="17" bestFit="1" customWidth="1"/>
    <col min="4" max="5" width="9.7109375" style="17" customWidth="1"/>
    <col min="6" max="6" width="7.28515625" customWidth="1"/>
    <col min="7" max="7" width="5.7109375" customWidth="1"/>
    <col min="8" max="8" width="5.28515625" customWidth="1"/>
    <col min="19" max="19" width="3.42578125" customWidth="1"/>
    <col min="22" max="22" width="9" style="27" bestFit="1" customWidth="1"/>
    <col min="23" max="23" width="7.85546875" customWidth="1"/>
    <col min="261" max="261" width="15.28515625" customWidth="1"/>
    <col min="262" max="262" width="18" customWidth="1"/>
    <col min="263" max="263" width="16" customWidth="1"/>
    <col min="517" max="517" width="15.28515625" customWidth="1"/>
    <col min="518" max="518" width="18" customWidth="1"/>
    <col min="519" max="519" width="16" customWidth="1"/>
    <col min="773" max="773" width="15.28515625" customWidth="1"/>
    <col min="774" max="774" width="18" customWidth="1"/>
    <col min="775" max="775" width="16" customWidth="1"/>
    <col min="1029" max="1029" width="15.28515625" customWidth="1"/>
    <col min="1030" max="1030" width="18" customWidth="1"/>
    <col min="1031" max="1031" width="16" customWidth="1"/>
    <col min="1285" max="1285" width="15.28515625" customWidth="1"/>
    <col min="1286" max="1286" width="18" customWidth="1"/>
    <col min="1287" max="1287" width="16" customWidth="1"/>
    <col min="1541" max="1541" width="15.28515625" customWidth="1"/>
    <col min="1542" max="1542" width="18" customWidth="1"/>
    <col min="1543" max="1543" width="16" customWidth="1"/>
    <col min="1797" max="1797" width="15.28515625" customWidth="1"/>
    <col min="1798" max="1798" width="18" customWidth="1"/>
    <col min="1799" max="1799" width="16" customWidth="1"/>
    <col min="2053" max="2053" width="15.28515625" customWidth="1"/>
    <col min="2054" max="2054" width="18" customWidth="1"/>
    <col min="2055" max="2055" width="16" customWidth="1"/>
    <col min="2309" max="2309" width="15.28515625" customWidth="1"/>
    <col min="2310" max="2310" width="18" customWidth="1"/>
    <col min="2311" max="2311" width="16" customWidth="1"/>
    <col min="2565" max="2565" width="15.28515625" customWidth="1"/>
    <col min="2566" max="2566" width="18" customWidth="1"/>
    <col min="2567" max="2567" width="16" customWidth="1"/>
    <col min="2821" max="2821" width="15.28515625" customWidth="1"/>
    <col min="2822" max="2822" width="18" customWidth="1"/>
    <col min="2823" max="2823" width="16" customWidth="1"/>
    <col min="3077" max="3077" width="15.28515625" customWidth="1"/>
    <col min="3078" max="3078" width="18" customWidth="1"/>
    <col min="3079" max="3079" width="16" customWidth="1"/>
    <col min="3333" max="3333" width="15.28515625" customWidth="1"/>
    <col min="3334" max="3334" width="18" customWidth="1"/>
    <col min="3335" max="3335" width="16" customWidth="1"/>
    <col min="3589" max="3589" width="15.28515625" customWidth="1"/>
    <col min="3590" max="3590" width="18" customWidth="1"/>
    <col min="3591" max="3591" width="16" customWidth="1"/>
    <col min="3845" max="3845" width="15.28515625" customWidth="1"/>
    <col min="3846" max="3846" width="18" customWidth="1"/>
    <col min="3847" max="3847" width="16" customWidth="1"/>
    <col min="4101" max="4101" width="15.28515625" customWidth="1"/>
    <col min="4102" max="4102" width="18" customWidth="1"/>
    <col min="4103" max="4103" width="16" customWidth="1"/>
    <col min="4357" max="4357" width="15.28515625" customWidth="1"/>
    <col min="4358" max="4358" width="18" customWidth="1"/>
    <col min="4359" max="4359" width="16" customWidth="1"/>
    <col min="4613" max="4613" width="15.28515625" customWidth="1"/>
    <col min="4614" max="4614" width="18" customWidth="1"/>
    <col min="4615" max="4615" width="16" customWidth="1"/>
    <col min="4869" max="4869" width="15.28515625" customWidth="1"/>
    <col min="4870" max="4870" width="18" customWidth="1"/>
    <col min="4871" max="4871" width="16" customWidth="1"/>
    <col min="5125" max="5125" width="15.28515625" customWidth="1"/>
    <col min="5126" max="5126" width="18" customWidth="1"/>
    <col min="5127" max="5127" width="16" customWidth="1"/>
    <col min="5381" max="5381" width="15.28515625" customWidth="1"/>
    <col min="5382" max="5382" width="18" customWidth="1"/>
    <col min="5383" max="5383" width="16" customWidth="1"/>
    <col min="5637" max="5637" width="15.28515625" customWidth="1"/>
    <col min="5638" max="5638" width="18" customWidth="1"/>
    <col min="5639" max="5639" width="16" customWidth="1"/>
    <col min="5893" max="5893" width="15.28515625" customWidth="1"/>
    <col min="5894" max="5894" width="18" customWidth="1"/>
    <col min="5895" max="5895" width="16" customWidth="1"/>
    <col min="6149" max="6149" width="15.28515625" customWidth="1"/>
    <col min="6150" max="6150" width="18" customWidth="1"/>
    <col min="6151" max="6151" width="16" customWidth="1"/>
    <col min="6405" max="6405" width="15.28515625" customWidth="1"/>
    <col min="6406" max="6406" width="18" customWidth="1"/>
    <col min="6407" max="6407" width="16" customWidth="1"/>
    <col min="6661" max="6661" width="15.28515625" customWidth="1"/>
    <col min="6662" max="6662" width="18" customWidth="1"/>
    <col min="6663" max="6663" width="16" customWidth="1"/>
    <col min="6917" max="6917" width="15.28515625" customWidth="1"/>
    <col min="6918" max="6918" width="18" customWidth="1"/>
    <col min="6919" max="6919" width="16" customWidth="1"/>
    <col min="7173" max="7173" width="15.28515625" customWidth="1"/>
    <col min="7174" max="7174" width="18" customWidth="1"/>
    <col min="7175" max="7175" width="16" customWidth="1"/>
    <col min="7429" max="7429" width="15.28515625" customWidth="1"/>
    <col min="7430" max="7430" width="18" customWidth="1"/>
    <col min="7431" max="7431" width="16" customWidth="1"/>
    <col min="7685" max="7685" width="15.28515625" customWidth="1"/>
    <col min="7686" max="7686" width="18" customWidth="1"/>
    <col min="7687" max="7687" width="16" customWidth="1"/>
    <col min="7941" max="7941" width="15.28515625" customWidth="1"/>
    <col min="7942" max="7942" width="18" customWidth="1"/>
    <col min="7943" max="7943" width="16" customWidth="1"/>
    <col min="8197" max="8197" width="15.28515625" customWidth="1"/>
    <col min="8198" max="8198" width="18" customWidth="1"/>
    <col min="8199" max="8199" width="16" customWidth="1"/>
    <col min="8453" max="8453" width="15.28515625" customWidth="1"/>
    <col min="8454" max="8454" width="18" customWidth="1"/>
    <col min="8455" max="8455" width="16" customWidth="1"/>
    <col min="8709" max="8709" width="15.28515625" customWidth="1"/>
    <col min="8710" max="8710" width="18" customWidth="1"/>
    <col min="8711" max="8711" width="16" customWidth="1"/>
    <col min="8965" max="8965" width="15.28515625" customWidth="1"/>
    <col min="8966" max="8966" width="18" customWidth="1"/>
    <col min="8967" max="8967" width="16" customWidth="1"/>
    <col min="9221" max="9221" width="15.28515625" customWidth="1"/>
    <col min="9222" max="9222" width="18" customWidth="1"/>
    <col min="9223" max="9223" width="16" customWidth="1"/>
    <col min="9477" max="9477" width="15.28515625" customWidth="1"/>
    <col min="9478" max="9478" width="18" customWidth="1"/>
    <col min="9479" max="9479" width="16" customWidth="1"/>
    <col min="9733" max="9733" width="15.28515625" customWidth="1"/>
    <col min="9734" max="9734" width="18" customWidth="1"/>
    <col min="9735" max="9735" width="16" customWidth="1"/>
    <col min="9989" max="9989" width="15.28515625" customWidth="1"/>
    <col min="9990" max="9990" width="18" customWidth="1"/>
    <col min="9991" max="9991" width="16" customWidth="1"/>
    <col min="10245" max="10245" width="15.28515625" customWidth="1"/>
    <col min="10246" max="10246" width="18" customWidth="1"/>
    <col min="10247" max="10247" width="16" customWidth="1"/>
    <col min="10501" max="10501" width="15.28515625" customWidth="1"/>
    <col min="10502" max="10502" width="18" customWidth="1"/>
    <col min="10503" max="10503" width="16" customWidth="1"/>
    <col min="10757" max="10757" width="15.28515625" customWidth="1"/>
    <col min="10758" max="10758" width="18" customWidth="1"/>
    <col min="10759" max="10759" width="16" customWidth="1"/>
    <col min="11013" max="11013" width="15.28515625" customWidth="1"/>
    <col min="11014" max="11014" width="18" customWidth="1"/>
    <col min="11015" max="11015" width="16" customWidth="1"/>
    <col min="11269" max="11269" width="15.28515625" customWidth="1"/>
    <col min="11270" max="11270" width="18" customWidth="1"/>
    <col min="11271" max="11271" width="16" customWidth="1"/>
    <col min="11525" max="11525" width="15.28515625" customWidth="1"/>
    <col min="11526" max="11526" width="18" customWidth="1"/>
    <col min="11527" max="11527" width="16" customWidth="1"/>
    <col min="11781" max="11781" width="15.28515625" customWidth="1"/>
    <col min="11782" max="11782" width="18" customWidth="1"/>
    <col min="11783" max="11783" width="16" customWidth="1"/>
    <col min="12037" max="12037" width="15.28515625" customWidth="1"/>
    <col min="12038" max="12038" width="18" customWidth="1"/>
    <col min="12039" max="12039" width="16" customWidth="1"/>
    <col min="12293" max="12293" width="15.28515625" customWidth="1"/>
    <col min="12294" max="12294" width="18" customWidth="1"/>
    <col min="12295" max="12295" width="16" customWidth="1"/>
    <col min="12549" max="12549" width="15.28515625" customWidth="1"/>
    <col min="12550" max="12550" width="18" customWidth="1"/>
    <col min="12551" max="12551" width="16" customWidth="1"/>
    <col min="12805" max="12805" width="15.28515625" customWidth="1"/>
    <col min="12806" max="12806" width="18" customWidth="1"/>
    <col min="12807" max="12807" width="16" customWidth="1"/>
    <col min="13061" max="13061" width="15.28515625" customWidth="1"/>
    <col min="13062" max="13062" width="18" customWidth="1"/>
    <col min="13063" max="13063" width="16" customWidth="1"/>
    <col min="13317" max="13317" width="15.28515625" customWidth="1"/>
    <col min="13318" max="13318" width="18" customWidth="1"/>
    <col min="13319" max="13319" width="16" customWidth="1"/>
    <col min="13573" max="13573" width="15.28515625" customWidth="1"/>
    <col min="13574" max="13574" width="18" customWidth="1"/>
    <col min="13575" max="13575" width="16" customWidth="1"/>
    <col min="13829" max="13829" width="15.28515625" customWidth="1"/>
    <col min="13830" max="13830" width="18" customWidth="1"/>
    <col min="13831" max="13831" width="16" customWidth="1"/>
    <col min="14085" max="14085" width="15.28515625" customWidth="1"/>
    <col min="14086" max="14086" width="18" customWidth="1"/>
    <col min="14087" max="14087" width="16" customWidth="1"/>
    <col min="14341" max="14341" width="15.28515625" customWidth="1"/>
    <col min="14342" max="14342" width="18" customWidth="1"/>
    <col min="14343" max="14343" width="16" customWidth="1"/>
    <col min="14597" max="14597" width="15.28515625" customWidth="1"/>
    <col min="14598" max="14598" width="18" customWidth="1"/>
    <col min="14599" max="14599" width="16" customWidth="1"/>
    <col min="14853" max="14853" width="15.28515625" customWidth="1"/>
    <col min="14854" max="14854" width="18" customWidth="1"/>
    <col min="14855" max="14855" width="16" customWidth="1"/>
    <col min="15109" max="15109" width="15.28515625" customWidth="1"/>
    <col min="15110" max="15110" width="18" customWidth="1"/>
    <col min="15111" max="15111" width="16" customWidth="1"/>
    <col min="15365" max="15365" width="15.28515625" customWidth="1"/>
    <col min="15366" max="15366" width="18" customWidth="1"/>
    <col min="15367" max="15367" width="16" customWidth="1"/>
    <col min="15621" max="15621" width="15.28515625" customWidth="1"/>
    <col min="15622" max="15622" width="18" customWidth="1"/>
    <col min="15623" max="15623" width="16" customWidth="1"/>
    <col min="15877" max="15877" width="15.28515625" customWidth="1"/>
    <col min="15878" max="15878" width="18" customWidth="1"/>
    <col min="15879" max="15879" width="16" customWidth="1"/>
    <col min="16133" max="16133" width="15.28515625" customWidth="1"/>
    <col min="16134" max="16134" width="18" customWidth="1"/>
    <col min="16135" max="16135" width="16" customWidth="1"/>
  </cols>
  <sheetData>
    <row r="1" spans="1:23" ht="22.5">
      <c r="B1" s="20" t="s">
        <v>13</v>
      </c>
      <c r="C1" s="20" t="s">
        <v>12</v>
      </c>
      <c r="D1" s="20" t="s">
        <v>18</v>
      </c>
      <c r="U1" s="30" t="s">
        <v>24</v>
      </c>
      <c r="V1" s="27" t="s">
        <v>25</v>
      </c>
    </row>
    <row r="2" spans="1:23">
      <c r="A2" s="18" t="s">
        <v>14</v>
      </c>
      <c r="B2" s="19" t="s">
        <v>21</v>
      </c>
      <c r="C2" s="19" t="s">
        <v>19</v>
      </c>
      <c r="D2" s="19" t="s">
        <v>20</v>
      </c>
      <c r="E2" s="19" t="s">
        <v>22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U2" s="18"/>
      <c r="V2" s="19" t="s">
        <v>23</v>
      </c>
      <c r="W2" s="31"/>
    </row>
    <row r="3" spans="1:23">
      <c r="A3">
        <v>1985</v>
      </c>
      <c r="B3" s="21">
        <v>233600</v>
      </c>
      <c r="C3" s="21">
        <v>191400</v>
      </c>
      <c r="D3" s="21">
        <v>222300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U3" s="24">
        <v>38596</v>
      </c>
      <c r="V3" s="27">
        <v>2233</v>
      </c>
    </row>
    <row r="4" spans="1:23">
      <c r="A4">
        <v>1986</v>
      </c>
      <c r="B4" s="21">
        <v>233000</v>
      </c>
      <c r="C4" s="21">
        <v>195200</v>
      </c>
      <c r="D4" s="21">
        <v>214600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U4" s="24">
        <v>38626</v>
      </c>
      <c r="V4" s="27">
        <v>2273</v>
      </c>
    </row>
    <row r="5" spans="1:23">
      <c r="A5">
        <v>1987</v>
      </c>
      <c r="B5" s="21">
        <v>346400</v>
      </c>
      <c r="C5" s="21">
        <v>202600</v>
      </c>
      <c r="D5" s="21">
        <v>251800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U5" s="24">
        <v>38657</v>
      </c>
      <c r="V5" s="27">
        <v>2314</v>
      </c>
    </row>
    <row r="6" spans="1:23">
      <c r="A6">
        <v>1988</v>
      </c>
      <c r="B6" s="21">
        <v>383800</v>
      </c>
      <c r="C6" s="21">
        <v>239500</v>
      </c>
      <c r="D6" s="21">
        <v>269100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U6" s="25">
        <v>38687</v>
      </c>
      <c r="V6" s="26">
        <v>2329</v>
      </c>
    </row>
    <row r="7" spans="1:23">
      <c r="A7">
        <v>1989</v>
      </c>
      <c r="B7" s="21">
        <v>387800</v>
      </c>
      <c r="C7" s="21">
        <v>236600</v>
      </c>
      <c r="D7" s="21">
        <v>283300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U7" s="24">
        <v>38718</v>
      </c>
      <c r="V7" s="28">
        <v>2342</v>
      </c>
    </row>
    <row r="8" spans="1:23">
      <c r="A8" s="16">
        <v>1990</v>
      </c>
      <c r="B8" s="22">
        <v>275300</v>
      </c>
      <c r="C8" s="22">
        <v>281100</v>
      </c>
      <c r="D8" s="22">
        <v>239400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U8" s="24">
        <v>38749</v>
      </c>
      <c r="V8" s="28">
        <v>2363</v>
      </c>
    </row>
    <row r="9" spans="1:23">
      <c r="A9">
        <v>1991</v>
      </c>
      <c r="B9" s="21">
        <v>248400</v>
      </c>
      <c r="C9" s="21">
        <v>271600</v>
      </c>
      <c r="D9" s="21">
        <v>201400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U9" s="24">
        <v>38777</v>
      </c>
      <c r="V9" s="28">
        <v>2379</v>
      </c>
    </row>
    <row r="10" spans="1:23">
      <c r="A10">
        <v>1992</v>
      </c>
      <c r="B10" s="21">
        <v>264700</v>
      </c>
      <c r="C10" s="21">
        <v>219600</v>
      </c>
      <c r="D10" s="21">
        <v>206100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U10" s="24">
        <v>38808</v>
      </c>
      <c r="V10" s="28">
        <v>2394</v>
      </c>
    </row>
    <row r="11" spans="1:23">
      <c r="A11">
        <v>1993</v>
      </c>
      <c r="B11" s="21">
        <v>234100</v>
      </c>
      <c r="C11" s="21">
        <v>217500</v>
      </c>
      <c r="D11" s="21">
        <v>189100</v>
      </c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U11" s="24">
        <v>38838</v>
      </c>
      <c r="V11" s="28">
        <v>2400</v>
      </c>
    </row>
    <row r="12" spans="1:23">
      <c r="A12">
        <v>1994</v>
      </c>
      <c r="B12" s="21">
        <v>295000</v>
      </c>
      <c r="C12" s="21">
        <v>223500</v>
      </c>
      <c r="D12" s="21">
        <v>222900</v>
      </c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U12" s="25">
        <v>38869</v>
      </c>
      <c r="V12" s="26">
        <v>2409</v>
      </c>
    </row>
    <row r="13" spans="1:23">
      <c r="A13">
        <v>1995</v>
      </c>
      <c r="B13" s="21">
        <v>352600</v>
      </c>
      <c r="C13" s="21">
        <v>208100</v>
      </c>
      <c r="D13" s="21">
        <v>284100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U13" s="24">
        <v>38899</v>
      </c>
      <c r="V13" s="28">
        <v>2423</v>
      </c>
    </row>
    <row r="14" spans="1:23">
      <c r="A14">
        <v>1996</v>
      </c>
      <c r="B14" s="21">
        <v>319500</v>
      </c>
      <c r="C14" s="21">
        <v>248600</v>
      </c>
      <c r="D14" s="21">
        <v>268300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U14" s="24">
        <v>38930</v>
      </c>
      <c r="V14" s="28">
        <v>2437</v>
      </c>
    </row>
    <row r="15" spans="1:23">
      <c r="A15">
        <v>1997</v>
      </c>
      <c r="B15" s="21">
        <v>346000</v>
      </c>
      <c r="C15" s="21">
        <v>286000</v>
      </c>
      <c r="D15" s="21">
        <v>287400</v>
      </c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U15" s="24">
        <v>38961</v>
      </c>
      <c r="V15" s="28">
        <v>2444</v>
      </c>
    </row>
    <row r="16" spans="1:23">
      <c r="A16">
        <v>1998</v>
      </c>
      <c r="B16" s="21">
        <v>460800</v>
      </c>
      <c r="C16" s="21">
        <v>297900</v>
      </c>
      <c r="D16" s="21">
        <v>407400</v>
      </c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U16" s="24">
        <v>38991</v>
      </c>
      <c r="V16" s="28">
        <v>2451</v>
      </c>
    </row>
    <row r="17" spans="1:22">
      <c r="A17">
        <v>1999</v>
      </c>
      <c r="B17" s="21">
        <v>561300</v>
      </c>
      <c r="C17" s="21">
        <v>356100</v>
      </c>
      <c r="D17" s="21">
        <v>510600</v>
      </c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U17" s="24">
        <v>39022</v>
      </c>
      <c r="V17" s="28">
        <v>2455</v>
      </c>
    </row>
    <row r="18" spans="1:22">
      <c r="A18" s="16">
        <v>2000</v>
      </c>
      <c r="B18" s="22">
        <v>578400</v>
      </c>
      <c r="C18" s="22">
        <v>415800</v>
      </c>
      <c r="D18" s="22">
        <v>535700</v>
      </c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U18" s="25">
        <v>39052</v>
      </c>
      <c r="V18" s="26">
        <v>2470</v>
      </c>
    </row>
    <row r="19" spans="1:22">
      <c r="A19">
        <v>2001</v>
      </c>
      <c r="B19" s="21">
        <v>564300</v>
      </c>
      <c r="C19" s="21">
        <v>498700</v>
      </c>
      <c r="D19" s="21">
        <v>524600</v>
      </c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U19" s="24">
        <v>39083</v>
      </c>
      <c r="V19" s="28">
        <v>2473</v>
      </c>
    </row>
    <row r="20" spans="1:22">
      <c r="A20">
        <v>2002</v>
      </c>
      <c r="B20" s="21">
        <v>560100</v>
      </c>
      <c r="C20" s="21">
        <v>426700</v>
      </c>
      <c r="D20" s="21">
        <v>524200</v>
      </c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U20" s="24">
        <v>39114</v>
      </c>
      <c r="V20" s="28">
        <v>2479</v>
      </c>
    </row>
    <row r="21" spans="1:22">
      <c r="A21">
        <v>2003</v>
      </c>
      <c r="B21" s="21">
        <v>609300</v>
      </c>
      <c r="C21" s="21">
        <v>448000</v>
      </c>
      <c r="D21" s="21">
        <v>625400</v>
      </c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U21" s="24">
        <v>39142</v>
      </c>
      <c r="V21" s="28">
        <v>2493</v>
      </c>
    </row>
    <row r="22" spans="1:22">
      <c r="A22">
        <v>2004</v>
      </c>
      <c r="B22" s="21">
        <v>647600</v>
      </c>
      <c r="C22" s="21">
        <v>488700</v>
      </c>
      <c r="D22" s="21">
        <v>636300</v>
      </c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U22" s="24">
        <v>39173</v>
      </c>
      <c r="V22" s="28">
        <v>2500</v>
      </c>
    </row>
    <row r="23" spans="1:22">
      <c r="A23">
        <v>2005</v>
      </c>
      <c r="B23" s="21">
        <v>667500</v>
      </c>
      <c r="C23" s="21">
        <v>522600</v>
      </c>
      <c r="D23" s="21">
        <v>735100</v>
      </c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U23" s="24">
        <v>39203</v>
      </c>
      <c r="V23" s="28">
        <v>2508</v>
      </c>
    </row>
    <row r="24" spans="1:22">
      <c r="A24">
        <v>2006</v>
      </c>
      <c r="B24" s="21">
        <v>820100</v>
      </c>
      <c r="C24" s="21">
        <v>584500</v>
      </c>
      <c r="D24" s="21">
        <v>798700</v>
      </c>
      <c r="E24" s="21">
        <v>73555</v>
      </c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U24" s="25">
        <v>39234</v>
      </c>
      <c r="V24" s="26">
        <v>2517</v>
      </c>
    </row>
    <row r="25" spans="1:22">
      <c r="A25">
        <v>2007</v>
      </c>
      <c r="B25" s="21">
        <v>667300</v>
      </c>
      <c r="C25" s="21">
        <v>637400</v>
      </c>
      <c r="D25" s="21">
        <v>759900</v>
      </c>
      <c r="E25" s="17">
        <v>358522</v>
      </c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U25" s="24">
        <v>39264</v>
      </c>
      <c r="V25" s="28">
        <v>2521</v>
      </c>
    </row>
    <row r="26" spans="1:22">
      <c r="A26">
        <v>2008</v>
      </c>
      <c r="B26" s="21">
        <v>232000</v>
      </c>
      <c r="C26" s="21">
        <v>631400</v>
      </c>
      <c r="D26" s="21">
        <v>285100</v>
      </c>
      <c r="E26" s="17">
        <v>691637</v>
      </c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U26" s="24">
        <v>39295</v>
      </c>
      <c r="V26" s="28">
        <v>2512</v>
      </c>
    </row>
    <row r="27" spans="1:22">
      <c r="A27">
        <v>2009</v>
      </c>
      <c r="B27" s="21">
        <v>110800</v>
      </c>
      <c r="C27" s="21">
        <v>387600</v>
      </c>
      <c r="D27" s="21">
        <v>110800</v>
      </c>
      <c r="E27" s="23">
        <v>875606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U27" s="24">
        <v>39326</v>
      </c>
      <c r="V27" s="28">
        <v>2511</v>
      </c>
    </row>
    <row r="28" spans="1:22">
      <c r="A28" s="16">
        <v>2010</v>
      </c>
      <c r="B28" s="22">
        <v>83100</v>
      </c>
      <c r="C28" s="22">
        <v>196500</v>
      </c>
      <c r="D28" s="22">
        <v>83100</v>
      </c>
      <c r="E28" s="17">
        <v>931615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U28" s="24">
        <v>39356</v>
      </c>
      <c r="V28" s="28">
        <v>2503</v>
      </c>
    </row>
    <row r="29" spans="1:22">
      <c r="A29">
        <v>2011</v>
      </c>
      <c r="B29" s="21">
        <v>109800</v>
      </c>
      <c r="C29" s="21">
        <v>233100</v>
      </c>
      <c r="D29" s="21">
        <v>91400</v>
      </c>
      <c r="E29" s="17">
        <v>924266</v>
      </c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U29" s="24">
        <v>39387</v>
      </c>
      <c r="V29" s="28">
        <v>2493</v>
      </c>
    </row>
    <row r="30" spans="1:22">
      <c r="A30">
        <v>2012</v>
      </c>
      <c r="B30" s="21">
        <v>71100</v>
      </c>
      <c r="C30" s="21">
        <v>117800</v>
      </c>
      <c r="D30" s="21">
        <v>46000</v>
      </c>
      <c r="E30" s="17">
        <v>872697</v>
      </c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U30" s="25">
        <v>39417</v>
      </c>
      <c r="V30" s="26">
        <v>2476</v>
      </c>
    </row>
    <row r="31" spans="1:22">
      <c r="A31">
        <v>2013</v>
      </c>
      <c r="B31" s="21">
        <v>57800</v>
      </c>
      <c r="C31" s="21">
        <v>73700</v>
      </c>
      <c r="D31" s="21">
        <v>35200</v>
      </c>
      <c r="E31" s="17">
        <v>778152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U31" s="24">
        <v>39448</v>
      </c>
      <c r="V31" s="28">
        <v>2466</v>
      </c>
    </row>
    <row r="32" spans="1:22">
      <c r="A32">
        <v>2014</v>
      </c>
      <c r="B32" s="21">
        <v>58800</v>
      </c>
      <c r="C32" s="21">
        <v>45800</v>
      </c>
      <c r="D32" s="21">
        <v>35800</v>
      </c>
      <c r="E32" s="17">
        <v>739244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U32" s="24">
        <v>39479</v>
      </c>
      <c r="V32" s="28">
        <v>2442</v>
      </c>
    </row>
    <row r="33" spans="1:22">
      <c r="A33">
        <v>2015</v>
      </c>
      <c r="B33" s="21"/>
      <c r="C33" s="21"/>
      <c r="D33" s="21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U33" s="24">
        <v>39508</v>
      </c>
      <c r="V33" s="28">
        <v>2435</v>
      </c>
    </row>
    <row r="34" spans="1:22"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U34" s="24">
        <v>39539</v>
      </c>
      <c r="V34" s="28">
        <v>2425</v>
      </c>
    </row>
    <row r="35" spans="1:22"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U35" s="24">
        <v>39569</v>
      </c>
      <c r="V35" s="28">
        <v>2401</v>
      </c>
    </row>
    <row r="36" spans="1:22"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U36" s="25">
        <v>39600</v>
      </c>
      <c r="V36" s="26">
        <v>2376</v>
      </c>
    </row>
    <row r="37" spans="1:22"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U37" s="24">
        <v>39630</v>
      </c>
      <c r="V37" s="28">
        <v>2360</v>
      </c>
    </row>
    <row r="38" spans="1:22"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U38" s="24">
        <v>39661</v>
      </c>
      <c r="V38" s="28">
        <v>2350</v>
      </c>
    </row>
    <row r="39" spans="1:22"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U39" s="24">
        <v>39692</v>
      </c>
      <c r="V39" s="28">
        <v>2340</v>
      </c>
    </row>
    <row r="40" spans="1:22"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U40" s="24">
        <v>39722</v>
      </c>
      <c r="V40" s="28">
        <v>2323</v>
      </c>
    </row>
    <row r="41" spans="1:22"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U41" s="24">
        <v>39753</v>
      </c>
      <c r="V41" s="28">
        <v>2304</v>
      </c>
    </row>
    <row r="42" spans="1:22"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U42" s="25">
        <v>39783</v>
      </c>
      <c r="V42" s="26">
        <v>2292</v>
      </c>
    </row>
    <row r="43" spans="1:22"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U43" s="24">
        <v>39814</v>
      </c>
      <c r="V43" s="28">
        <v>2278</v>
      </c>
    </row>
    <row r="44" spans="1:22"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U44" s="24">
        <v>39845</v>
      </c>
      <c r="V44" s="28">
        <v>2264</v>
      </c>
    </row>
    <row r="45" spans="1:22"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U45" s="24">
        <v>39873</v>
      </c>
      <c r="V45" s="28">
        <v>2239</v>
      </c>
    </row>
    <row r="46" spans="1:22"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U46" s="24">
        <v>39904</v>
      </c>
      <c r="V46" s="28">
        <v>2215</v>
      </c>
    </row>
    <row r="47" spans="1:22"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U47" s="24">
        <v>39934</v>
      </c>
      <c r="V47" s="28">
        <v>2206</v>
      </c>
    </row>
    <row r="48" spans="1:22"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U48" s="25">
        <v>39965</v>
      </c>
      <c r="V48" s="26">
        <v>2196</v>
      </c>
    </row>
    <row r="49" spans="8:22"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U49" s="24">
        <v>39995</v>
      </c>
      <c r="V49" s="28">
        <v>2183</v>
      </c>
    </row>
    <row r="50" spans="8:22"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U50" s="24">
        <v>40026</v>
      </c>
      <c r="V50" s="28">
        <v>2178</v>
      </c>
    </row>
    <row r="51" spans="8:22"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U51" s="24">
        <v>40057</v>
      </c>
      <c r="V51" s="28">
        <v>2173</v>
      </c>
    </row>
    <row r="52" spans="8:22"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U52" s="24">
        <v>40087</v>
      </c>
      <c r="V52" s="28">
        <v>2164</v>
      </c>
    </row>
    <row r="53" spans="8:22"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U53" s="24">
        <v>40118</v>
      </c>
      <c r="V53" s="28">
        <v>2156</v>
      </c>
    </row>
    <row r="54" spans="8:22">
      <c r="U54" s="25">
        <v>40148</v>
      </c>
      <c r="V54" s="26">
        <v>2140</v>
      </c>
    </row>
    <row r="55" spans="8:22">
      <c r="U55" s="24">
        <v>40179</v>
      </c>
      <c r="V55" s="28">
        <v>2141</v>
      </c>
    </row>
    <row r="56" spans="8:22">
      <c r="U56" s="24">
        <v>40210</v>
      </c>
      <c r="V56" s="28">
        <v>2134</v>
      </c>
    </row>
    <row r="57" spans="8:22">
      <c r="U57" s="24">
        <v>40238</v>
      </c>
      <c r="V57" s="28">
        <v>2115</v>
      </c>
    </row>
    <row r="58" spans="8:22">
      <c r="U58" s="24">
        <v>40269</v>
      </c>
      <c r="V58" s="28">
        <v>2101</v>
      </c>
    </row>
    <row r="59" spans="8:22">
      <c r="U59" s="24">
        <v>40299</v>
      </c>
      <c r="V59" s="28">
        <v>2097</v>
      </c>
    </row>
    <row r="60" spans="8:22">
      <c r="U60" s="25">
        <v>40330</v>
      </c>
      <c r="V60" s="26">
        <v>2087</v>
      </c>
    </row>
    <row r="61" spans="8:22">
      <c r="U61" s="24">
        <v>40360</v>
      </c>
      <c r="V61" s="28">
        <v>2077</v>
      </c>
    </row>
    <row r="62" spans="8:22">
      <c r="U62" s="24">
        <v>40391</v>
      </c>
      <c r="V62" s="28">
        <v>2071</v>
      </c>
    </row>
    <row r="63" spans="8:22">
      <c r="U63" s="24">
        <v>40422</v>
      </c>
      <c r="V63" s="28">
        <v>2062</v>
      </c>
    </row>
    <row r="64" spans="8:22">
      <c r="U64" s="24">
        <v>40452</v>
      </c>
      <c r="V64" s="28">
        <v>2060</v>
      </c>
    </row>
    <row r="65" spans="21:22">
      <c r="U65" s="24">
        <v>40483</v>
      </c>
      <c r="V65" s="28">
        <v>2054</v>
      </c>
    </row>
    <row r="66" spans="21:22">
      <c r="U66" s="25">
        <v>40513</v>
      </c>
      <c r="V66" s="26">
        <v>2055</v>
      </c>
    </row>
    <row r="67" spans="21:22">
      <c r="U67" s="24">
        <v>40544</v>
      </c>
      <c r="V67" s="28">
        <v>2041</v>
      </c>
    </row>
    <row r="68" spans="21:22">
      <c r="U68" s="24">
        <v>40575</v>
      </c>
      <c r="V68" s="28">
        <v>2031</v>
      </c>
    </row>
    <row r="69" spans="21:22">
      <c r="U69" s="24">
        <v>40603</v>
      </c>
      <c r="V69" s="28">
        <v>2027</v>
      </c>
    </row>
    <row r="70" spans="21:22">
      <c r="U70" s="24">
        <v>40634</v>
      </c>
      <c r="V70" s="28">
        <v>2014</v>
      </c>
    </row>
    <row r="71" spans="21:22">
      <c r="U71" s="24">
        <v>40664</v>
      </c>
      <c r="V71" s="28">
        <v>2007</v>
      </c>
    </row>
    <row r="72" spans="21:22">
      <c r="U72" s="25">
        <v>40695</v>
      </c>
      <c r="V72" s="26">
        <v>1988</v>
      </c>
    </row>
    <row r="73" spans="21:22">
      <c r="U73" s="24">
        <v>40725</v>
      </c>
      <c r="V73" s="28">
        <v>1949</v>
      </c>
    </row>
    <row r="74" spans="21:22">
      <c r="U74" s="24">
        <v>40756</v>
      </c>
      <c r="V74" s="28">
        <v>1908</v>
      </c>
    </row>
    <row r="75" spans="21:22">
      <c r="U75" s="24">
        <v>40787</v>
      </c>
      <c r="V75" s="28">
        <v>1903</v>
      </c>
    </row>
    <row r="76" spans="21:22">
      <c r="U76" s="24">
        <v>40817</v>
      </c>
      <c r="V76" s="28">
        <v>1908</v>
      </c>
    </row>
    <row r="77" spans="21:22">
      <c r="U77" s="24">
        <v>40848</v>
      </c>
      <c r="V77" s="28">
        <v>1877</v>
      </c>
    </row>
    <row r="78" spans="21:22">
      <c r="U78" s="25">
        <v>40878</v>
      </c>
      <c r="V78" s="26">
        <v>1869</v>
      </c>
    </row>
    <row r="79" spans="21:22">
      <c r="U79" s="24">
        <v>40909</v>
      </c>
      <c r="V79" s="28">
        <v>1862</v>
      </c>
    </row>
    <row r="80" spans="21:22">
      <c r="U80" s="24">
        <v>40940</v>
      </c>
      <c r="V80" s="28">
        <v>1838</v>
      </c>
    </row>
    <row r="81" spans="21:22">
      <c r="U81" s="24">
        <v>40969</v>
      </c>
      <c r="V81" s="28">
        <v>1839</v>
      </c>
    </row>
    <row r="82" spans="21:22">
      <c r="U82" s="24">
        <v>41000</v>
      </c>
      <c r="V82" s="28">
        <v>1835</v>
      </c>
    </row>
    <row r="83" spans="21:22">
      <c r="U83" s="24">
        <v>41030</v>
      </c>
      <c r="V83" s="28">
        <v>1827</v>
      </c>
    </row>
    <row r="84" spans="21:22">
      <c r="U84" s="25">
        <v>41061</v>
      </c>
      <c r="V84" s="26">
        <v>1814</v>
      </c>
    </row>
    <row r="85" spans="21:22">
      <c r="U85" s="24">
        <v>41091</v>
      </c>
      <c r="V85" s="28">
        <v>1803</v>
      </c>
    </row>
    <row r="86" spans="21:22">
      <c r="U86" s="24">
        <v>41122</v>
      </c>
      <c r="V86" s="28">
        <v>1760</v>
      </c>
    </row>
    <row r="87" spans="21:22">
      <c r="U87" s="24">
        <v>41153</v>
      </c>
      <c r="V87" s="28">
        <v>1766</v>
      </c>
    </row>
    <row r="88" spans="21:22">
      <c r="U88" s="24">
        <v>41183</v>
      </c>
      <c r="V88" s="28">
        <v>1746</v>
      </c>
    </row>
    <row r="89" spans="21:22">
      <c r="U89" s="24">
        <v>41214</v>
      </c>
      <c r="V89" s="28">
        <v>1728</v>
      </c>
    </row>
    <row r="90" spans="21:22">
      <c r="U90" s="25">
        <v>41244</v>
      </c>
      <c r="V90" s="26">
        <v>1707</v>
      </c>
    </row>
    <row r="91" spans="21:22">
      <c r="U91" s="24">
        <v>41275</v>
      </c>
      <c r="V91" s="28">
        <v>1689</v>
      </c>
    </row>
    <row r="92" spans="21:22">
      <c r="U92" s="24">
        <v>41306</v>
      </c>
      <c r="V92" s="28">
        <v>1685</v>
      </c>
    </row>
    <row r="93" spans="21:22">
      <c r="U93" s="24">
        <v>41334</v>
      </c>
      <c r="V93" s="28">
        <v>1669</v>
      </c>
    </row>
    <row r="94" spans="21:22">
      <c r="U94" s="24">
        <v>41365</v>
      </c>
      <c r="V94" s="28">
        <v>1655</v>
      </c>
    </row>
    <row r="95" spans="21:22">
      <c r="U95" s="24">
        <v>41395</v>
      </c>
      <c r="V95" s="28">
        <v>1635</v>
      </c>
    </row>
    <row r="96" spans="21:22">
      <c r="U96" s="25">
        <v>41426</v>
      </c>
      <c r="V96" s="26">
        <v>1620</v>
      </c>
    </row>
    <row r="97" spans="21:22">
      <c r="U97" s="24">
        <v>41456</v>
      </c>
      <c r="V97" s="28">
        <v>1610</v>
      </c>
    </row>
    <row r="98" spans="21:22">
      <c r="U98" s="24">
        <v>41487</v>
      </c>
      <c r="V98" s="28">
        <v>1588</v>
      </c>
    </row>
    <row r="99" spans="21:22">
      <c r="U99" s="24">
        <v>41518</v>
      </c>
      <c r="V99" s="28">
        <v>1585</v>
      </c>
    </row>
    <row r="100" spans="21:22">
      <c r="U100" s="24">
        <v>41548</v>
      </c>
      <c r="V100" s="28">
        <v>1588</v>
      </c>
    </row>
    <row r="101" spans="21:22">
      <c r="U101" s="24">
        <v>41579</v>
      </c>
      <c r="V101" s="28">
        <v>1574</v>
      </c>
    </row>
    <row r="102" spans="21:22">
      <c r="U102" s="25">
        <v>41609</v>
      </c>
      <c r="V102" s="26">
        <v>1553</v>
      </c>
    </row>
    <row r="103" spans="21:22">
      <c r="U103" s="24">
        <v>41640</v>
      </c>
      <c r="V103" s="28">
        <v>1545</v>
      </c>
    </row>
    <row r="104" spans="21:22">
      <c r="U104" s="24">
        <v>41671</v>
      </c>
      <c r="V104" s="28">
        <v>1541</v>
      </c>
    </row>
    <row r="105" spans="21:22">
      <c r="U105" s="24">
        <v>41699</v>
      </c>
      <c r="V105" s="28">
        <v>1558</v>
      </c>
    </row>
    <row r="106" spans="21:22">
      <c r="U106" s="24">
        <v>41730</v>
      </c>
      <c r="V106" s="28">
        <v>1547</v>
      </c>
    </row>
    <row r="107" spans="21:22">
      <c r="U107" s="24">
        <v>41760</v>
      </c>
      <c r="V107" s="28">
        <v>1543</v>
      </c>
    </row>
    <row r="108" spans="21:22">
      <c r="U108" s="25">
        <v>41791</v>
      </c>
      <c r="V108" s="26">
        <v>1528</v>
      </c>
    </row>
    <row r="109" spans="21:22">
      <c r="U109" s="24">
        <v>41821</v>
      </c>
      <c r="V109" s="28">
        <v>1537</v>
      </c>
    </row>
    <row r="110" spans="21:22">
      <c r="U110" s="24">
        <v>41852</v>
      </c>
      <c r="V110" s="28">
        <v>1538</v>
      </c>
    </row>
    <row r="111" spans="21:22">
      <c r="U111" s="24">
        <v>41883</v>
      </c>
      <c r="V111" s="28">
        <v>1544</v>
      </c>
    </row>
    <row r="112" spans="21:22">
      <c r="U112" s="24">
        <v>41913</v>
      </c>
      <c r="V112" s="28">
        <v>1520</v>
      </c>
    </row>
    <row r="113" spans="21:22">
      <c r="U113" s="24">
        <v>41944</v>
      </c>
      <c r="V113" s="28">
        <v>1527</v>
      </c>
    </row>
    <row r="114" spans="21:22">
      <c r="U114" s="25">
        <v>41974</v>
      </c>
      <c r="V114" s="26">
        <v>1511</v>
      </c>
    </row>
    <row r="115" spans="21:22">
      <c r="U115" s="24">
        <v>42005</v>
      </c>
      <c r="V115" s="28">
        <v>1505</v>
      </c>
    </row>
    <row r="116" spans="21:22">
      <c r="U116" s="24">
        <v>42005</v>
      </c>
    </row>
  </sheetData>
  <pageMargins left="0.75" right="0.75" top="1" bottom="1" header="0" footer="0"/>
  <pageSetup paperSize="9" orientation="portrait" horizontalDpi="0" verticalDpi="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 published="0"/>
  <dimension ref="B2:Q88"/>
  <sheetViews>
    <sheetView topLeftCell="A64" workbookViewId="0">
      <selection activeCell="F31" sqref="F31"/>
    </sheetView>
  </sheetViews>
  <sheetFormatPr baseColWidth="10" defaultRowHeight="12.75" outlineLevelRow="1"/>
  <cols>
    <col min="1" max="1" width="6.7109375" customWidth="1"/>
    <col min="2" max="2" width="7.5703125" style="34" bestFit="1" customWidth="1"/>
    <col min="3" max="3" width="7.5703125" bestFit="1" customWidth="1"/>
    <col min="4" max="4" width="8.7109375" customWidth="1"/>
    <col min="5" max="5" width="16.85546875" style="17" customWidth="1"/>
    <col min="6" max="8" width="11.42578125" style="34" customWidth="1"/>
    <col min="9" max="15" width="14.140625" style="34" customWidth="1"/>
    <col min="16" max="16" width="13.7109375" style="34" customWidth="1"/>
    <col min="17" max="17" width="12.42578125" style="34" customWidth="1"/>
    <col min="18" max="18" width="12.85546875" customWidth="1"/>
  </cols>
  <sheetData>
    <row r="2" spans="2:17">
      <c r="B2" s="30" t="s">
        <v>24</v>
      </c>
      <c r="C2" s="34" t="s">
        <v>26</v>
      </c>
    </row>
    <row r="4" spans="2:17">
      <c r="B4" s="33"/>
      <c r="C4" s="33"/>
      <c r="D4" s="38" t="s">
        <v>23</v>
      </c>
      <c r="E4" s="42" t="s">
        <v>132</v>
      </c>
    </row>
    <row r="5" spans="2:17" outlineLevel="1">
      <c r="B5" s="34" t="s">
        <v>27</v>
      </c>
      <c r="C5" s="40" t="s">
        <v>106</v>
      </c>
      <c r="D5" s="36">
        <v>670.8</v>
      </c>
      <c r="I5" s="29"/>
      <c r="J5" s="29"/>
      <c r="K5" s="29"/>
      <c r="L5" s="29"/>
      <c r="M5" s="29"/>
      <c r="N5" s="29"/>
      <c r="O5" s="29"/>
      <c r="P5" s="29"/>
      <c r="Q5" s="29"/>
    </row>
    <row r="6" spans="2:17" outlineLevel="1">
      <c r="B6" s="34" t="s">
        <v>28</v>
      </c>
      <c r="C6" s="34"/>
      <c r="D6" s="36">
        <v>686</v>
      </c>
      <c r="I6" s="29"/>
      <c r="J6" s="29"/>
      <c r="K6" s="29"/>
      <c r="L6" s="29"/>
      <c r="M6" s="29"/>
      <c r="N6" s="29"/>
      <c r="O6" s="29"/>
      <c r="P6" s="29"/>
      <c r="Q6" s="29"/>
    </row>
    <row r="7" spans="2:17" outlineLevel="1">
      <c r="B7" s="34" t="s">
        <v>29</v>
      </c>
      <c r="C7" s="34"/>
      <c r="D7" s="36">
        <v>682.6</v>
      </c>
      <c r="I7" s="29"/>
      <c r="J7" s="29"/>
      <c r="K7" s="29"/>
      <c r="L7" s="29"/>
      <c r="M7" s="29"/>
      <c r="N7" s="29"/>
      <c r="O7" s="29"/>
      <c r="P7" s="29"/>
      <c r="Q7" s="29"/>
    </row>
    <row r="8" spans="2:17" outlineLevel="1">
      <c r="B8" s="32" t="s">
        <v>30</v>
      </c>
      <c r="C8" s="32"/>
      <c r="D8" s="37">
        <v>692.7</v>
      </c>
      <c r="E8" s="23"/>
      <c r="I8" s="29"/>
      <c r="J8" s="29"/>
      <c r="K8" s="29"/>
      <c r="L8" s="29"/>
      <c r="M8" s="29"/>
      <c r="N8" s="29"/>
      <c r="O8" s="29"/>
      <c r="P8" s="29"/>
      <c r="Q8" s="29"/>
    </row>
    <row r="9" spans="2:17" outlineLevel="1">
      <c r="B9" s="34" t="s">
        <v>31</v>
      </c>
      <c r="C9" s="40" t="s">
        <v>107</v>
      </c>
      <c r="D9" s="36">
        <v>686</v>
      </c>
      <c r="I9" s="29"/>
      <c r="J9" s="29"/>
      <c r="K9" s="29"/>
      <c r="L9" s="29"/>
      <c r="M9" s="29"/>
      <c r="N9" s="29"/>
      <c r="O9" s="29"/>
      <c r="P9" s="29"/>
      <c r="Q9" s="29"/>
    </row>
    <row r="10" spans="2:17" outlineLevel="1">
      <c r="B10" s="34" t="s">
        <v>32</v>
      </c>
      <c r="C10" s="34"/>
      <c r="D10" s="36">
        <v>697.8</v>
      </c>
      <c r="I10" s="29"/>
      <c r="J10" s="29"/>
      <c r="K10" s="29"/>
      <c r="L10" s="29"/>
      <c r="M10" s="29"/>
      <c r="N10" s="29"/>
      <c r="O10" s="29"/>
      <c r="P10" s="29"/>
      <c r="Q10" s="29"/>
    </row>
    <row r="11" spans="2:17" outlineLevel="1">
      <c r="B11" s="34" t="s">
        <v>33</v>
      </c>
      <c r="C11" s="34"/>
      <c r="D11" s="36">
        <v>691</v>
      </c>
      <c r="I11" s="29"/>
      <c r="J11" s="29"/>
      <c r="K11" s="29"/>
      <c r="L11" s="29"/>
      <c r="M11" s="29"/>
      <c r="N11" s="29"/>
      <c r="O11" s="29"/>
      <c r="P11" s="29"/>
      <c r="Q11" s="29"/>
    </row>
    <row r="12" spans="2:17" outlineLevel="1">
      <c r="B12" s="32" t="s">
        <v>34</v>
      </c>
      <c r="C12" s="32"/>
      <c r="D12" s="37">
        <v>694.4</v>
      </c>
      <c r="E12" s="23"/>
      <c r="I12" s="29"/>
      <c r="J12" s="29"/>
      <c r="K12" s="29"/>
      <c r="L12" s="29"/>
      <c r="M12" s="29"/>
      <c r="N12" s="29"/>
      <c r="O12" s="29"/>
      <c r="P12" s="29"/>
      <c r="Q12" s="29"/>
    </row>
    <row r="13" spans="2:17" outlineLevel="1">
      <c r="B13" s="34" t="s">
        <v>35</v>
      </c>
      <c r="C13" s="40" t="s">
        <v>108</v>
      </c>
      <c r="D13" s="36">
        <v>691</v>
      </c>
      <c r="I13" s="29"/>
      <c r="J13" s="29"/>
      <c r="K13" s="29"/>
      <c r="L13" s="29"/>
      <c r="M13" s="29"/>
      <c r="N13" s="29"/>
      <c r="O13" s="29"/>
      <c r="P13" s="29"/>
      <c r="Q13" s="29"/>
    </row>
    <row r="14" spans="2:17" outlineLevel="1">
      <c r="B14" s="34" t="s">
        <v>36</v>
      </c>
      <c r="C14" s="34"/>
      <c r="D14" s="36">
        <v>726.4</v>
      </c>
      <c r="I14" s="29"/>
      <c r="J14" s="29"/>
      <c r="K14" s="29"/>
      <c r="L14" s="29"/>
      <c r="M14" s="29"/>
      <c r="N14" s="29"/>
      <c r="O14" s="29"/>
      <c r="P14" s="29"/>
      <c r="Q14" s="29"/>
    </row>
    <row r="15" spans="2:17" outlineLevel="1">
      <c r="B15" s="34" t="s">
        <v>37</v>
      </c>
      <c r="C15" s="34"/>
      <c r="D15" s="36">
        <v>726.4</v>
      </c>
      <c r="I15" s="29"/>
      <c r="J15" s="29"/>
      <c r="K15" s="29"/>
      <c r="L15" s="29"/>
      <c r="M15" s="29"/>
      <c r="N15" s="29"/>
      <c r="O15" s="29"/>
      <c r="P15" s="29"/>
      <c r="Q15" s="29"/>
    </row>
    <row r="16" spans="2:17" outlineLevel="1">
      <c r="B16" s="32" t="s">
        <v>38</v>
      </c>
      <c r="C16" s="32"/>
      <c r="D16" s="37">
        <v>702.8</v>
      </c>
      <c r="E16" s="23"/>
      <c r="I16" s="29"/>
      <c r="J16" s="29"/>
      <c r="K16" s="29"/>
      <c r="L16" s="29"/>
      <c r="M16" s="29"/>
      <c r="N16" s="29"/>
      <c r="O16" s="29"/>
      <c r="P16" s="29"/>
      <c r="Q16" s="29"/>
    </row>
    <row r="17" spans="2:17" outlineLevel="1">
      <c r="B17" s="34" t="s">
        <v>39</v>
      </c>
      <c r="C17" s="40" t="s">
        <v>109</v>
      </c>
      <c r="D17" s="36">
        <v>716.3</v>
      </c>
      <c r="I17" s="29"/>
      <c r="J17" s="29"/>
      <c r="K17" s="29"/>
      <c r="L17" s="29"/>
      <c r="M17" s="29"/>
      <c r="N17" s="29"/>
      <c r="O17" s="29"/>
      <c r="P17" s="29"/>
      <c r="Q17" s="29"/>
    </row>
    <row r="18" spans="2:17" outlineLevel="1">
      <c r="B18" s="34" t="s">
        <v>40</v>
      </c>
      <c r="C18" s="34"/>
      <c r="D18" s="36">
        <v>761.8</v>
      </c>
      <c r="I18" s="29"/>
      <c r="J18" s="29"/>
      <c r="K18" s="29"/>
      <c r="L18" s="29"/>
      <c r="M18" s="29"/>
      <c r="N18" s="29"/>
      <c r="O18" s="29"/>
      <c r="P18" s="29"/>
      <c r="Q18" s="29"/>
    </row>
    <row r="19" spans="2:17" outlineLevel="1">
      <c r="B19" s="34" t="s">
        <v>41</v>
      </c>
      <c r="C19" s="34"/>
      <c r="D19" s="36">
        <v>777</v>
      </c>
      <c r="I19" s="29"/>
      <c r="J19" s="29"/>
      <c r="K19" s="29"/>
      <c r="L19" s="29"/>
      <c r="M19" s="29"/>
      <c r="N19" s="29"/>
      <c r="O19" s="29"/>
      <c r="P19" s="29"/>
      <c r="Q19" s="29"/>
    </row>
    <row r="20" spans="2:17" outlineLevel="1">
      <c r="B20" s="32" t="s">
        <v>42</v>
      </c>
      <c r="C20" s="32"/>
      <c r="D20" s="37">
        <v>756.7</v>
      </c>
      <c r="E20" s="23"/>
      <c r="I20" s="29"/>
      <c r="J20" s="29"/>
      <c r="K20" s="29"/>
      <c r="L20" s="29"/>
      <c r="M20" s="29"/>
      <c r="N20" s="29"/>
      <c r="O20" s="29"/>
      <c r="P20" s="29"/>
      <c r="Q20" s="29"/>
    </row>
    <row r="21" spans="2:17" outlineLevel="1">
      <c r="B21" s="34" t="s">
        <v>44</v>
      </c>
      <c r="C21" s="40" t="s">
        <v>110</v>
      </c>
      <c r="D21" s="36">
        <v>780.3</v>
      </c>
      <c r="I21" s="29"/>
      <c r="J21" s="29"/>
      <c r="K21" s="29"/>
      <c r="L21" s="29"/>
      <c r="M21" s="29"/>
      <c r="N21" s="29"/>
      <c r="O21" s="29"/>
      <c r="P21" s="29"/>
      <c r="Q21" s="29"/>
    </row>
    <row r="22" spans="2:17" outlineLevel="1">
      <c r="B22" s="34" t="s">
        <v>43</v>
      </c>
      <c r="C22" s="34"/>
      <c r="D22" s="36">
        <v>805.6</v>
      </c>
      <c r="I22" s="29"/>
      <c r="J22" s="29"/>
      <c r="K22" s="29"/>
      <c r="L22" s="29"/>
      <c r="M22" s="29"/>
      <c r="N22" s="29"/>
      <c r="O22" s="29"/>
      <c r="P22" s="29"/>
      <c r="Q22" s="29"/>
    </row>
    <row r="23" spans="2:17" outlineLevel="1">
      <c r="B23" s="34" t="s">
        <v>46</v>
      </c>
      <c r="C23" s="34"/>
      <c r="D23" s="36">
        <v>827.5</v>
      </c>
      <c r="I23" s="29"/>
      <c r="J23" s="29"/>
      <c r="K23" s="29"/>
      <c r="L23" s="29"/>
      <c r="M23" s="29"/>
      <c r="N23" s="29"/>
      <c r="O23" s="29"/>
      <c r="P23" s="29"/>
      <c r="Q23" s="29"/>
    </row>
    <row r="24" spans="2:17" outlineLevel="1">
      <c r="B24" s="32" t="s">
        <v>45</v>
      </c>
      <c r="C24" s="32"/>
      <c r="D24" s="37">
        <v>829.2</v>
      </c>
      <c r="E24" s="23"/>
      <c r="I24" s="29"/>
      <c r="J24" s="29"/>
      <c r="K24" s="29"/>
      <c r="L24" s="29"/>
      <c r="M24" s="29"/>
      <c r="N24" s="29"/>
      <c r="O24" s="29"/>
      <c r="P24" s="29"/>
      <c r="Q24" s="29"/>
    </row>
    <row r="25" spans="2:17" outlineLevel="1">
      <c r="B25" s="34" t="s">
        <v>47</v>
      </c>
      <c r="C25" s="40" t="s">
        <v>131</v>
      </c>
      <c r="D25" s="36">
        <v>856.2</v>
      </c>
      <c r="I25" s="29"/>
      <c r="J25" s="29"/>
      <c r="K25" s="29"/>
      <c r="L25" s="29"/>
      <c r="M25" s="29"/>
      <c r="N25" s="29"/>
      <c r="O25" s="29"/>
      <c r="P25" s="29"/>
      <c r="Q25" s="29"/>
    </row>
    <row r="26" spans="2:17" outlineLevel="1">
      <c r="B26" s="34" t="s">
        <v>48</v>
      </c>
      <c r="C26" s="34"/>
      <c r="D26" s="36">
        <v>879.8</v>
      </c>
      <c r="I26" s="29"/>
      <c r="J26" s="29"/>
      <c r="K26" s="29"/>
      <c r="L26" s="29"/>
      <c r="M26" s="29"/>
      <c r="N26" s="29"/>
      <c r="O26" s="29"/>
      <c r="P26" s="29"/>
      <c r="Q26" s="29"/>
    </row>
    <row r="27" spans="2:17" outlineLevel="1">
      <c r="B27" s="34" t="s">
        <v>50</v>
      </c>
      <c r="C27" s="34"/>
      <c r="D27" s="36">
        <v>891.6</v>
      </c>
      <c r="I27" s="29"/>
      <c r="J27" s="29"/>
      <c r="K27" s="29"/>
      <c r="L27" s="29"/>
      <c r="M27" s="29"/>
      <c r="N27" s="29"/>
      <c r="O27" s="29"/>
      <c r="P27" s="29"/>
      <c r="Q27" s="29"/>
    </row>
    <row r="28" spans="2:17" outlineLevel="1">
      <c r="B28" s="32" t="s">
        <v>49</v>
      </c>
      <c r="C28" s="32"/>
      <c r="D28" s="37">
        <v>893.3</v>
      </c>
      <c r="E28" s="23"/>
      <c r="I28" s="29"/>
      <c r="J28" s="29"/>
      <c r="K28" s="29"/>
      <c r="L28" s="29"/>
      <c r="M28" s="29"/>
      <c r="N28" s="29"/>
      <c r="O28" s="29"/>
      <c r="P28" s="29"/>
      <c r="Q28" s="29"/>
    </row>
    <row r="29" spans="2:17" outlineLevel="1">
      <c r="B29" s="34" t="s">
        <v>56</v>
      </c>
      <c r="C29" s="40" t="s">
        <v>111</v>
      </c>
      <c r="D29" s="36">
        <v>930.3</v>
      </c>
      <c r="I29" s="29"/>
      <c r="J29" s="29"/>
      <c r="K29" s="29"/>
      <c r="L29" s="29"/>
      <c r="M29" s="29"/>
      <c r="N29" s="29"/>
      <c r="O29" s="29"/>
      <c r="P29" s="29"/>
      <c r="Q29" s="29"/>
    </row>
    <row r="30" spans="2:17" outlineLevel="1">
      <c r="B30" s="34" t="s">
        <v>57</v>
      </c>
      <c r="C30" s="34"/>
      <c r="D30" s="36">
        <v>962.4</v>
      </c>
      <c r="I30" s="29"/>
      <c r="J30" s="29"/>
      <c r="K30" s="29"/>
      <c r="L30" s="29"/>
      <c r="M30" s="29"/>
      <c r="N30" s="29"/>
      <c r="O30" s="29"/>
      <c r="P30" s="29"/>
      <c r="Q30" s="29"/>
    </row>
    <row r="31" spans="2:17" outlineLevel="1">
      <c r="B31" s="34" t="s">
        <v>58</v>
      </c>
      <c r="C31" s="34"/>
      <c r="D31" s="36">
        <v>982.6</v>
      </c>
    </row>
    <row r="32" spans="2:17" outlineLevel="1">
      <c r="B32" s="32" t="s">
        <v>55</v>
      </c>
      <c r="C32" s="32"/>
      <c r="D32" s="37">
        <v>992.7</v>
      </c>
      <c r="E32" s="23"/>
    </row>
    <row r="33" spans="2:17" outlineLevel="1">
      <c r="B33" s="34" t="s">
        <v>54</v>
      </c>
      <c r="C33" s="40" t="s">
        <v>112</v>
      </c>
      <c r="D33" s="36">
        <v>1051.7</v>
      </c>
    </row>
    <row r="34" spans="2:17" outlineLevel="1">
      <c r="B34" s="34" t="s">
        <v>53</v>
      </c>
      <c r="C34" s="34"/>
      <c r="D34" s="36">
        <v>1117.4000000000001</v>
      </c>
    </row>
    <row r="35" spans="2:17" outlineLevel="1">
      <c r="B35" s="34" t="s">
        <v>52</v>
      </c>
      <c r="C35" s="34"/>
      <c r="D35" s="36">
        <v>1142.7</v>
      </c>
    </row>
    <row r="36" spans="2:17" outlineLevel="1">
      <c r="B36" s="32" t="s">
        <v>51</v>
      </c>
      <c r="C36" s="32"/>
      <c r="D36" s="37">
        <v>1164.5999999999999</v>
      </c>
      <c r="E36" s="23"/>
    </row>
    <row r="37" spans="2:17" outlineLevel="1">
      <c r="B37" s="34" t="s">
        <v>59</v>
      </c>
      <c r="C37" s="40" t="s">
        <v>113</v>
      </c>
      <c r="D37" s="36">
        <v>1230.3</v>
      </c>
    </row>
    <row r="38" spans="2:17" outlineLevel="1">
      <c r="B38" s="34" t="s">
        <v>60</v>
      </c>
      <c r="C38" s="34"/>
      <c r="D38" s="36">
        <v>1309.5999999999999</v>
      </c>
    </row>
    <row r="39" spans="2:17" outlineLevel="1">
      <c r="B39" s="34" t="s">
        <v>61</v>
      </c>
      <c r="C39" s="34"/>
      <c r="D39" s="36">
        <v>1344.9</v>
      </c>
    </row>
    <row r="40" spans="2:17" outlineLevel="1">
      <c r="B40" s="32" t="s">
        <v>62</v>
      </c>
      <c r="C40" s="32"/>
      <c r="D40" s="37">
        <v>1380.3</v>
      </c>
      <c r="E40" s="23"/>
    </row>
    <row r="41" spans="2:17">
      <c r="B41" s="35" t="s">
        <v>63</v>
      </c>
      <c r="C41" s="41" t="s">
        <v>114</v>
      </c>
      <c r="D41" s="39">
        <v>1456.2</v>
      </c>
      <c r="E41" s="17">
        <v>190442</v>
      </c>
    </row>
    <row r="42" spans="2:17">
      <c r="B42" s="34" t="s">
        <v>64</v>
      </c>
      <c r="C42" s="34"/>
      <c r="D42" s="36">
        <v>1538.8</v>
      </c>
      <c r="E42" s="17">
        <v>223895</v>
      </c>
      <c r="I42" s="29"/>
      <c r="J42" s="29"/>
      <c r="K42" s="29"/>
      <c r="L42" s="29"/>
      <c r="M42" s="29"/>
      <c r="N42" s="29"/>
      <c r="O42" s="29"/>
      <c r="P42" s="29"/>
      <c r="Q42" s="29"/>
    </row>
    <row r="43" spans="2:17">
      <c r="B43" s="34" t="s">
        <v>65</v>
      </c>
      <c r="C43" s="34"/>
      <c r="D43" s="36">
        <v>1570.8</v>
      </c>
      <c r="E43" s="17">
        <v>201089</v>
      </c>
      <c r="I43" s="29"/>
      <c r="J43" s="29"/>
      <c r="K43" s="29"/>
      <c r="L43" s="29"/>
      <c r="M43" s="29"/>
      <c r="N43" s="29"/>
      <c r="O43" s="29"/>
      <c r="P43" s="29"/>
      <c r="Q43" s="29"/>
    </row>
    <row r="44" spans="2:17">
      <c r="B44" s="32" t="s">
        <v>66</v>
      </c>
      <c r="C44" s="32"/>
      <c r="D44" s="37">
        <v>1618</v>
      </c>
      <c r="E44" s="23">
        <v>232964</v>
      </c>
      <c r="I44" s="29"/>
      <c r="J44" s="29"/>
      <c r="K44" s="29"/>
      <c r="L44" s="29"/>
      <c r="M44" s="29"/>
      <c r="N44" s="29"/>
      <c r="O44" s="29"/>
      <c r="P44" s="29"/>
      <c r="Q44" s="29"/>
    </row>
    <row r="45" spans="2:17">
      <c r="B45" s="34" t="s">
        <v>67</v>
      </c>
      <c r="C45" s="40" t="s">
        <v>115</v>
      </c>
      <c r="D45" s="36">
        <v>1685.4</v>
      </c>
      <c r="E45" s="17">
        <v>196438</v>
      </c>
      <c r="I45" s="29"/>
      <c r="J45" s="29"/>
      <c r="K45" s="29"/>
      <c r="L45" s="29"/>
      <c r="M45" s="29"/>
      <c r="N45" s="29"/>
      <c r="O45" s="29"/>
      <c r="P45" s="29"/>
      <c r="Q45" s="29"/>
    </row>
    <row r="46" spans="2:17">
      <c r="B46" s="34" t="s">
        <v>68</v>
      </c>
      <c r="C46" s="34"/>
      <c r="D46" s="36">
        <v>1752.8</v>
      </c>
      <c r="E46" s="17">
        <v>241398</v>
      </c>
      <c r="I46" s="29"/>
      <c r="J46" s="29"/>
      <c r="K46" s="29"/>
      <c r="L46" s="29"/>
      <c r="M46" s="29"/>
      <c r="N46" s="29"/>
      <c r="O46" s="29"/>
      <c r="P46" s="29"/>
      <c r="Q46" s="29"/>
    </row>
    <row r="47" spans="2:17">
      <c r="B47" s="34" t="s">
        <v>69</v>
      </c>
      <c r="C47" s="34"/>
      <c r="D47" s="36">
        <v>1781.5</v>
      </c>
      <c r="E47" s="17">
        <v>216333</v>
      </c>
      <c r="I47" s="29"/>
      <c r="J47" s="29"/>
      <c r="K47" s="29"/>
      <c r="L47" s="29"/>
      <c r="M47" s="29"/>
      <c r="N47" s="29"/>
      <c r="O47" s="29"/>
      <c r="P47" s="29"/>
      <c r="Q47" s="29"/>
    </row>
    <row r="48" spans="2:17">
      <c r="B48" s="32" t="s">
        <v>70</v>
      </c>
      <c r="C48" s="32"/>
      <c r="D48" s="37">
        <v>1824.3</v>
      </c>
      <c r="E48" s="23">
        <v>247405</v>
      </c>
      <c r="I48" s="29"/>
      <c r="J48" s="29"/>
      <c r="K48" s="29"/>
      <c r="L48" s="29"/>
      <c r="M48" s="29"/>
      <c r="N48" s="29"/>
      <c r="O48" s="29"/>
      <c r="P48" s="29"/>
      <c r="Q48" s="29"/>
    </row>
    <row r="49" spans="2:17">
      <c r="B49" s="34" t="s">
        <v>71</v>
      </c>
      <c r="C49" s="40" t="s">
        <v>116</v>
      </c>
      <c r="D49" s="36">
        <v>1887.6</v>
      </c>
      <c r="E49" s="17">
        <v>233669</v>
      </c>
      <c r="I49" s="29"/>
      <c r="J49" s="29"/>
      <c r="K49" s="29"/>
      <c r="L49" s="29"/>
      <c r="M49" s="29"/>
      <c r="N49" s="29"/>
      <c r="O49" s="29"/>
      <c r="P49" s="29"/>
      <c r="Q49" s="29"/>
    </row>
    <row r="50" spans="2:17">
      <c r="B50" s="34" t="s">
        <v>72</v>
      </c>
      <c r="C50" s="34"/>
      <c r="D50" s="36">
        <v>1942.3</v>
      </c>
      <c r="E50" s="17">
        <v>251649</v>
      </c>
      <c r="I50" s="29"/>
      <c r="J50" s="29"/>
      <c r="K50" s="29"/>
      <c r="L50" s="29"/>
      <c r="M50" s="29"/>
      <c r="N50" s="29"/>
      <c r="O50" s="29"/>
      <c r="P50" s="29"/>
      <c r="Q50" s="29"/>
    </row>
    <row r="51" spans="2:17">
      <c r="B51" s="34" t="s">
        <v>73</v>
      </c>
      <c r="C51" s="34"/>
      <c r="D51" s="36">
        <v>1956.7</v>
      </c>
      <c r="E51" s="17">
        <v>221610</v>
      </c>
      <c r="I51" s="29"/>
      <c r="J51" s="29"/>
      <c r="K51" s="29"/>
      <c r="L51" s="29"/>
      <c r="M51" s="29"/>
      <c r="N51" s="29"/>
      <c r="O51" s="29"/>
      <c r="P51" s="29"/>
      <c r="Q51" s="29"/>
    </row>
    <row r="52" spans="2:17">
      <c r="B52" s="32" t="s">
        <v>74</v>
      </c>
      <c r="C52" s="32"/>
      <c r="D52" s="37">
        <v>1990.5</v>
      </c>
      <c r="E52" s="23">
        <v>248258</v>
      </c>
      <c r="I52" s="29"/>
      <c r="J52" s="29"/>
      <c r="K52" s="29"/>
      <c r="L52" s="29"/>
      <c r="M52" s="29"/>
      <c r="N52" s="29"/>
      <c r="O52" s="29"/>
      <c r="P52" s="29"/>
      <c r="Q52" s="29"/>
    </row>
    <row r="53" spans="2:17">
      <c r="B53" s="34" t="s">
        <v>75</v>
      </c>
      <c r="C53" s="40" t="s">
        <v>117</v>
      </c>
      <c r="D53" s="36">
        <v>2024.2</v>
      </c>
      <c r="E53" s="17">
        <v>230755</v>
      </c>
      <c r="I53" s="29"/>
      <c r="J53" s="29"/>
      <c r="K53" s="29"/>
      <c r="L53" s="29"/>
      <c r="M53" s="29"/>
      <c r="N53" s="29"/>
      <c r="O53" s="29"/>
      <c r="P53" s="29"/>
      <c r="Q53" s="29"/>
    </row>
    <row r="54" spans="2:17">
      <c r="B54" s="34" t="s">
        <v>76</v>
      </c>
      <c r="C54" s="34"/>
      <c r="D54" s="36">
        <v>2054.5</v>
      </c>
      <c r="E54" s="17">
        <v>227562</v>
      </c>
      <c r="I54" s="29"/>
      <c r="J54" s="29"/>
      <c r="K54" s="29"/>
      <c r="L54" s="29"/>
      <c r="M54" s="29"/>
      <c r="N54" s="29"/>
      <c r="O54" s="29"/>
      <c r="P54" s="29"/>
      <c r="Q54" s="29"/>
    </row>
    <row r="55" spans="2:17">
      <c r="B55" s="34" t="s">
        <v>77</v>
      </c>
      <c r="C55" s="34"/>
      <c r="D55" s="36">
        <v>2061.1999999999998</v>
      </c>
      <c r="E55" s="17">
        <v>186504</v>
      </c>
      <c r="I55" s="29"/>
      <c r="J55" s="29"/>
      <c r="K55" s="29"/>
      <c r="L55" s="29"/>
      <c r="M55" s="29"/>
      <c r="N55" s="29"/>
      <c r="O55" s="29"/>
      <c r="P55" s="29"/>
      <c r="Q55" s="29"/>
    </row>
    <row r="56" spans="2:17">
      <c r="B56" s="32" t="s">
        <v>78</v>
      </c>
      <c r="C56" s="32"/>
      <c r="D56" s="37">
        <v>2085.5</v>
      </c>
      <c r="E56" s="23">
        <v>192050</v>
      </c>
      <c r="I56" s="29"/>
      <c r="J56" s="29"/>
      <c r="K56" s="29"/>
      <c r="L56" s="29"/>
      <c r="M56" s="29"/>
      <c r="N56" s="29"/>
      <c r="O56" s="29"/>
      <c r="P56" s="29"/>
      <c r="Q56" s="29"/>
    </row>
    <row r="57" spans="2:17">
      <c r="B57" s="34" t="s">
        <v>79</v>
      </c>
      <c r="C57" s="40" t="s">
        <v>118</v>
      </c>
      <c r="D57" s="36">
        <v>2101.4</v>
      </c>
      <c r="E57" s="17">
        <v>159088</v>
      </c>
      <c r="I57" s="29"/>
      <c r="J57" s="29"/>
      <c r="K57" s="29"/>
      <c r="L57" s="29"/>
      <c r="M57" s="29"/>
      <c r="N57" s="29"/>
      <c r="O57" s="29"/>
      <c r="P57" s="29"/>
      <c r="Q57" s="29"/>
    </row>
    <row r="58" spans="2:17">
      <c r="B58" s="34" t="s">
        <v>80</v>
      </c>
      <c r="C58" s="34"/>
      <c r="D58" s="36">
        <v>2095.6999999999998</v>
      </c>
      <c r="E58" s="17">
        <v>157008</v>
      </c>
      <c r="I58" s="29"/>
      <c r="J58" s="29"/>
      <c r="K58" s="29"/>
      <c r="L58" s="29"/>
      <c r="M58" s="29"/>
      <c r="N58" s="29"/>
      <c r="O58" s="29"/>
      <c r="P58" s="29"/>
      <c r="Q58" s="29"/>
    </row>
    <row r="59" spans="2:17">
      <c r="B59" s="34" t="s">
        <v>81</v>
      </c>
      <c r="C59" s="34"/>
      <c r="D59" s="36">
        <v>2068.6999999999998</v>
      </c>
      <c r="E59" s="17">
        <v>122949</v>
      </c>
      <c r="I59" s="29"/>
      <c r="J59" s="29"/>
      <c r="K59" s="29"/>
      <c r="L59" s="29"/>
      <c r="M59" s="29"/>
      <c r="N59" s="29"/>
      <c r="O59" s="29"/>
      <c r="P59" s="29"/>
      <c r="Q59" s="29"/>
    </row>
    <row r="60" spans="2:17">
      <c r="B60" s="32" t="s">
        <v>82</v>
      </c>
      <c r="C60" s="32"/>
      <c r="D60" s="37">
        <v>2018.5</v>
      </c>
      <c r="E60" s="23">
        <v>125419</v>
      </c>
      <c r="I60" s="29"/>
      <c r="J60" s="29"/>
      <c r="K60" s="29"/>
      <c r="L60" s="29"/>
      <c r="M60" s="29"/>
      <c r="N60" s="29"/>
      <c r="O60" s="29"/>
      <c r="P60" s="29"/>
      <c r="Q60" s="29"/>
    </row>
    <row r="61" spans="2:17">
      <c r="B61" s="34" t="s">
        <v>83</v>
      </c>
      <c r="C61" s="40" t="s">
        <v>119</v>
      </c>
      <c r="D61" s="36">
        <v>1958.1</v>
      </c>
      <c r="E61" s="17">
        <v>104703</v>
      </c>
      <c r="I61" s="29"/>
      <c r="J61" s="29"/>
      <c r="K61" s="29"/>
      <c r="L61" s="29"/>
      <c r="M61" s="29"/>
      <c r="N61" s="29"/>
      <c r="O61" s="29"/>
      <c r="P61" s="29"/>
      <c r="Q61" s="29"/>
    </row>
    <row r="62" spans="2:17">
      <c r="B62" s="34" t="s">
        <v>84</v>
      </c>
      <c r="C62" s="34"/>
      <c r="D62" s="36">
        <v>1920.9</v>
      </c>
      <c r="E62" s="17">
        <v>119938</v>
      </c>
      <c r="I62" s="29"/>
      <c r="J62" s="29"/>
      <c r="K62" s="29"/>
      <c r="L62" s="29"/>
      <c r="M62" s="29"/>
      <c r="N62" s="29"/>
      <c r="O62" s="29"/>
      <c r="P62" s="29"/>
      <c r="Q62" s="29"/>
    </row>
    <row r="63" spans="2:17">
      <c r="B63" s="34" t="s">
        <v>85</v>
      </c>
      <c r="C63" s="34"/>
      <c r="D63" s="36">
        <v>1896.8</v>
      </c>
      <c r="E63" s="17">
        <v>107534</v>
      </c>
      <c r="I63" s="29"/>
      <c r="J63" s="29"/>
      <c r="K63" s="29"/>
      <c r="L63" s="29"/>
      <c r="M63" s="29"/>
      <c r="N63" s="29"/>
      <c r="O63" s="29"/>
      <c r="P63" s="29"/>
      <c r="Q63" s="29"/>
    </row>
    <row r="64" spans="2:17">
      <c r="B64" s="32" t="s">
        <v>86</v>
      </c>
      <c r="C64" s="32"/>
      <c r="D64" s="37">
        <v>1892.3</v>
      </c>
      <c r="E64" s="23">
        <v>131544</v>
      </c>
      <c r="I64" s="29"/>
      <c r="J64" s="29"/>
      <c r="K64" s="29"/>
      <c r="L64" s="29"/>
      <c r="M64" s="29"/>
      <c r="N64" s="29"/>
      <c r="O64" s="29"/>
      <c r="P64" s="29"/>
      <c r="Q64" s="29"/>
    </row>
    <row r="65" spans="2:17">
      <c r="B65" s="34" t="s">
        <v>87</v>
      </c>
      <c r="C65" s="40" t="s">
        <v>120</v>
      </c>
      <c r="D65" s="36">
        <v>1865.7</v>
      </c>
      <c r="E65" s="17">
        <v>107079</v>
      </c>
      <c r="I65" s="29"/>
      <c r="J65" s="29"/>
      <c r="K65" s="29"/>
      <c r="L65" s="29"/>
      <c r="M65" s="29"/>
      <c r="N65" s="29"/>
      <c r="O65" s="29"/>
      <c r="P65" s="29"/>
      <c r="Q65" s="29"/>
    </row>
    <row r="66" spans="2:17">
      <c r="B66" s="34" t="s">
        <v>88</v>
      </c>
      <c r="C66" s="34"/>
      <c r="D66" s="36">
        <v>1848.9</v>
      </c>
      <c r="E66" s="17">
        <v>153164</v>
      </c>
      <c r="I66" s="29"/>
      <c r="J66" s="29"/>
      <c r="K66" s="29"/>
      <c r="L66" s="29"/>
      <c r="M66" s="29"/>
      <c r="N66" s="29"/>
      <c r="O66" s="29"/>
      <c r="P66" s="29"/>
      <c r="Q66" s="29"/>
    </row>
    <row r="67" spans="2:17">
      <c r="B67" s="34" t="s">
        <v>89</v>
      </c>
      <c r="C67" s="34"/>
      <c r="D67" s="36">
        <v>1832</v>
      </c>
      <c r="E67" s="17">
        <v>80550</v>
      </c>
      <c r="I67" s="29"/>
      <c r="J67" s="29"/>
      <c r="K67" s="29"/>
      <c r="L67" s="29"/>
      <c r="M67" s="29"/>
      <c r="N67" s="29"/>
      <c r="O67" s="29"/>
      <c r="P67" s="29"/>
      <c r="Q67" s="29"/>
    </row>
    <row r="68" spans="2:17">
      <c r="B68" s="32" t="s">
        <v>90</v>
      </c>
      <c r="C68" s="32"/>
      <c r="D68" s="37">
        <v>1825.5</v>
      </c>
      <c r="E68" s="23">
        <v>150494</v>
      </c>
      <c r="I68" s="29"/>
      <c r="J68" s="29"/>
      <c r="K68" s="29"/>
      <c r="L68" s="29"/>
      <c r="M68" s="29"/>
      <c r="N68" s="29"/>
      <c r="O68" s="29"/>
      <c r="P68" s="29"/>
      <c r="Q68" s="29"/>
    </row>
    <row r="69" spans="2:17">
      <c r="B69" s="34" t="s">
        <v>99</v>
      </c>
      <c r="C69" s="40" t="s">
        <v>121</v>
      </c>
      <c r="D69" s="36">
        <v>1777.6</v>
      </c>
      <c r="E69" s="17">
        <v>74455</v>
      </c>
    </row>
    <row r="70" spans="2:17">
      <c r="B70" s="34" t="s">
        <v>98</v>
      </c>
      <c r="C70" s="34"/>
      <c r="D70" s="36">
        <v>1752.1</v>
      </c>
      <c r="E70" s="17">
        <v>90756</v>
      </c>
    </row>
    <row r="71" spans="2:17">
      <c r="B71" s="34" t="s">
        <v>102</v>
      </c>
      <c r="C71" s="34"/>
      <c r="D71" s="36">
        <v>1729.3</v>
      </c>
      <c r="E71" s="17">
        <v>76534</v>
      </c>
    </row>
    <row r="72" spans="2:17">
      <c r="B72" s="32" t="s">
        <v>101</v>
      </c>
      <c r="C72" s="32"/>
      <c r="D72" s="37">
        <v>1701.8</v>
      </c>
      <c r="E72" s="23">
        <v>107373</v>
      </c>
    </row>
    <row r="73" spans="2:17">
      <c r="B73" s="34" t="s">
        <v>100</v>
      </c>
      <c r="C73" s="40" t="s">
        <v>122</v>
      </c>
      <c r="D73" s="36">
        <v>1649.3</v>
      </c>
      <c r="E73" s="17">
        <v>69420</v>
      </c>
    </row>
    <row r="74" spans="2:17">
      <c r="B74" s="34" t="s">
        <v>105</v>
      </c>
      <c r="C74" s="34"/>
      <c r="D74" s="36">
        <v>1606.4</v>
      </c>
      <c r="E74" s="17">
        <v>84289</v>
      </c>
    </row>
    <row r="75" spans="2:17">
      <c r="B75" s="34" t="s">
        <v>104</v>
      </c>
      <c r="C75" s="34"/>
      <c r="D75" s="36">
        <v>1565.6</v>
      </c>
      <c r="E75" s="17">
        <v>75313</v>
      </c>
    </row>
    <row r="76" spans="2:17">
      <c r="B76" s="32" t="s">
        <v>103</v>
      </c>
      <c r="C76" s="32"/>
      <c r="D76" s="37">
        <v>1531.2</v>
      </c>
      <c r="E76" s="23">
        <v>134601</v>
      </c>
    </row>
    <row r="77" spans="2:17">
      <c r="B77" s="34" t="s">
        <v>94</v>
      </c>
      <c r="C77" s="40" t="s">
        <v>123</v>
      </c>
      <c r="D77" s="36">
        <v>1516.4</v>
      </c>
      <c r="E77" s="17">
        <v>54835</v>
      </c>
    </row>
    <row r="78" spans="2:17">
      <c r="B78" s="34" t="s">
        <v>96</v>
      </c>
      <c r="C78" s="34"/>
      <c r="D78" s="36">
        <v>1502.8</v>
      </c>
      <c r="E78" s="17">
        <v>81472</v>
      </c>
    </row>
    <row r="79" spans="2:17">
      <c r="B79" s="34" t="s">
        <v>95</v>
      </c>
      <c r="C79" s="34"/>
      <c r="D79" s="36">
        <v>1495.3</v>
      </c>
      <c r="E79" s="17">
        <v>70604</v>
      </c>
    </row>
    <row r="80" spans="2:17">
      <c r="B80" s="32" t="s">
        <v>97</v>
      </c>
      <c r="C80" s="32"/>
      <c r="D80" s="37">
        <v>1466.9</v>
      </c>
      <c r="E80" s="23">
        <v>93657</v>
      </c>
    </row>
    <row r="81" spans="2:5">
      <c r="B81" s="34" t="s">
        <v>93</v>
      </c>
      <c r="C81" s="40" t="s">
        <v>124</v>
      </c>
      <c r="D81" s="36">
        <v>1459.4</v>
      </c>
      <c r="E81" s="17">
        <v>81516</v>
      </c>
    </row>
    <row r="82" spans="2:5">
      <c r="B82" s="34" t="s">
        <v>92</v>
      </c>
      <c r="C82" s="34"/>
      <c r="D82" s="36">
        <v>1459.3000000000002</v>
      </c>
      <c r="E82" s="17">
        <v>91769</v>
      </c>
    </row>
    <row r="83" spans="2:5">
      <c r="B83" s="34" t="s">
        <v>91</v>
      </c>
      <c r="C83" s="34"/>
      <c r="D83" s="36">
        <v>1455.8</v>
      </c>
      <c r="E83" s="17">
        <v>80136</v>
      </c>
    </row>
    <row r="84" spans="2:5">
      <c r="B84" s="32" t="s">
        <v>126</v>
      </c>
      <c r="C84" s="32"/>
      <c r="D84" s="32"/>
      <c r="E84" s="23"/>
    </row>
    <row r="85" spans="2:5">
      <c r="B85" s="34" t="s">
        <v>128</v>
      </c>
      <c r="C85" s="40" t="s">
        <v>127</v>
      </c>
    </row>
    <row r="86" spans="2:5">
      <c r="B86" s="34" t="s">
        <v>129</v>
      </c>
    </row>
    <row r="87" spans="2:5">
      <c r="B87" s="34" t="s">
        <v>125</v>
      </c>
    </row>
    <row r="88" spans="2:5">
      <c r="B88" s="32" t="s">
        <v>130</v>
      </c>
      <c r="C88" s="32"/>
      <c r="D88" s="32"/>
      <c r="E88" s="23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published="0"/>
  <dimension ref="B2:V61"/>
  <sheetViews>
    <sheetView topLeftCell="A13" zoomScale="70" zoomScaleNormal="70" workbookViewId="0">
      <selection activeCell="N37" sqref="N37"/>
    </sheetView>
  </sheetViews>
  <sheetFormatPr baseColWidth="10" defaultColWidth="10.85546875" defaultRowHeight="15"/>
  <cols>
    <col min="1" max="1" width="7.28515625" style="2" customWidth="1"/>
    <col min="2" max="2" width="10.85546875" style="2"/>
    <col min="3" max="12" width="9.140625" style="2" customWidth="1"/>
    <col min="13" max="16384" width="10.85546875" style="2"/>
  </cols>
  <sheetData>
    <row r="2" spans="2:22" ht="23.25">
      <c r="B2" s="13" t="s">
        <v>15</v>
      </c>
      <c r="H2" s="1"/>
    </row>
    <row r="4" spans="2:22" ht="18.75">
      <c r="B4" s="14" t="s">
        <v>17</v>
      </c>
    </row>
    <row r="6" spans="2:22" ht="21">
      <c r="B6" s="12" t="s">
        <v>1</v>
      </c>
    </row>
    <row r="7" spans="2:22">
      <c r="B7" s="3" t="s">
        <v>2</v>
      </c>
      <c r="C7" s="4">
        <v>2005</v>
      </c>
      <c r="D7" s="4">
        <v>2006</v>
      </c>
      <c r="E7" s="4">
        <v>2007</v>
      </c>
      <c r="F7" s="4">
        <v>2008</v>
      </c>
      <c r="G7" s="4">
        <v>2009</v>
      </c>
      <c r="H7" s="4">
        <v>2010</v>
      </c>
      <c r="I7" s="4">
        <v>2011</v>
      </c>
      <c r="J7" s="4">
        <v>2012</v>
      </c>
      <c r="K7" s="4">
        <v>2013</v>
      </c>
      <c r="L7" s="4">
        <v>2014</v>
      </c>
      <c r="V7" s="8"/>
    </row>
    <row r="8" spans="2:22">
      <c r="B8" s="5" t="s">
        <v>10</v>
      </c>
      <c r="C8" s="7">
        <v>13025</v>
      </c>
      <c r="D8" s="7">
        <v>39320</v>
      </c>
      <c r="E8" s="7">
        <v>11340</v>
      </c>
      <c r="F8" s="7">
        <v>121035</v>
      </c>
      <c r="G8" s="7">
        <v>146736</v>
      </c>
      <c r="H8" s="7">
        <v>17665</v>
      </c>
      <c r="I8" s="7">
        <v>15452</v>
      </c>
      <c r="J8" s="7">
        <v>200</v>
      </c>
      <c r="K8" s="7"/>
      <c r="L8" s="7"/>
    </row>
    <row r="9" spans="2:22">
      <c r="B9" s="5" t="s">
        <v>9</v>
      </c>
      <c r="C9" s="7">
        <v>72970</v>
      </c>
      <c r="D9" s="7">
        <v>65627</v>
      </c>
      <c r="E9" s="7">
        <v>70160</v>
      </c>
      <c r="F9" s="7">
        <v>76950</v>
      </c>
      <c r="G9" s="7">
        <v>56955</v>
      </c>
      <c r="H9" s="7">
        <v>52615</v>
      </c>
      <c r="I9" s="7">
        <v>62634</v>
      </c>
      <c r="J9" s="7">
        <v>56190</v>
      </c>
      <c r="K9" s="7"/>
      <c r="L9" s="7"/>
    </row>
    <row r="10" spans="2:22">
      <c r="B10" s="5" t="s">
        <v>8</v>
      </c>
      <c r="C10" s="7">
        <v>56209</v>
      </c>
      <c r="D10" s="7">
        <v>63110</v>
      </c>
      <c r="E10" s="7">
        <v>107010</v>
      </c>
      <c r="F10" s="7">
        <v>12515</v>
      </c>
      <c r="G10" s="7">
        <v>22480</v>
      </c>
      <c r="H10" s="7">
        <v>15245</v>
      </c>
      <c r="I10" s="7">
        <v>37272</v>
      </c>
      <c r="J10" s="7">
        <v>10110</v>
      </c>
      <c r="K10" s="7"/>
      <c r="L10" s="7"/>
    </row>
    <row r="11" spans="2:22">
      <c r="B11" s="5" t="s">
        <v>7</v>
      </c>
      <c r="C11" s="7">
        <v>9285</v>
      </c>
      <c r="D11" s="7">
        <v>14900</v>
      </c>
      <c r="E11" s="7">
        <v>46855</v>
      </c>
      <c r="F11" s="7">
        <v>12450</v>
      </c>
      <c r="G11" s="7">
        <v>8915</v>
      </c>
      <c r="H11" s="7">
        <v>25285</v>
      </c>
      <c r="I11" s="7">
        <v>20565</v>
      </c>
      <c r="J11" s="7">
        <v>5971</v>
      </c>
      <c r="K11" s="7"/>
      <c r="L11" s="7"/>
    </row>
    <row r="12" spans="2:22">
      <c r="B12" s="5" t="s">
        <v>6</v>
      </c>
      <c r="C12" s="7">
        <v>60265</v>
      </c>
      <c r="D12" s="7">
        <v>50360</v>
      </c>
      <c r="E12" s="7">
        <v>27250</v>
      </c>
      <c r="F12" s="7">
        <v>33635</v>
      </c>
      <c r="G12" s="7">
        <v>7760</v>
      </c>
      <c r="H12" s="7">
        <v>45855</v>
      </c>
      <c r="I12" s="7">
        <v>37775</v>
      </c>
      <c r="J12" s="7">
        <v>2615</v>
      </c>
      <c r="K12" s="7"/>
      <c r="L12" s="7"/>
    </row>
    <row r="13" spans="2:22">
      <c r="B13" s="5" t="s">
        <v>5</v>
      </c>
      <c r="C13" s="7">
        <v>46950</v>
      </c>
      <c r="D13" s="7">
        <v>18880</v>
      </c>
      <c r="E13" s="7">
        <v>29170</v>
      </c>
      <c r="F13" s="7">
        <v>20470</v>
      </c>
      <c r="G13" s="7">
        <v>13495</v>
      </c>
      <c r="H13" s="7">
        <v>56794</v>
      </c>
      <c r="I13" s="7">
        <v>51705</v>
      </c>
      <c r="J13" s="7">
        <v>19275</v>
      </c>
      <c r="K13" s="7"/>
      <c r="L13" s="7"/>
    </row>
    <row r="14" spans="2:22">
      <c r="B14" s="3" t="s">
        <v>4</v>
      </c>
      <c r="C14" s="11">
        <v>58820</v>
      </c>
      <c r="D14" s="11">
        <v>120280</v>
      </c>
      <c r="E14" s="11">
        <v>155150</v>
      </c>
      <c r="F14" s="11">
        <v>128945</v>
      </c>
      <c r="G14" s="11">
        <v>69685</v>
      </c>
      <c r="H14" s="11">
        <v>92750</v>
      </c>
      <c r="I14" s="11">
        <v>91261</v>
      </c>
      <c r="J14" s="11">
        <v>94980</v>
      </c>
      <c r="K14" s="11"/>
      <c r="L14" s="11"/>
    </row>
    <row r="15" spans="2:22">
      <c r="C15" s="7">
        <f t="shared" ref="C15:L15" si="0">SUM(C8:C14)</f>
        <v>317524</v>
      </c>
      <c r="D15" s="7">
        <f t="shared" si="0"/>
        <v>372477</v>
      </c>
      <c r="E15" s="7">
        <f t="shared" si="0"/>
        <v>446935</v>
      </c>
      <c r="F15" s="7">
        <f t="shared" si="0"/>
        <v>406000</v>
      </c>
      <c r="G15" s="7">
        <f t="shared" si="0"/>
        <v>326026</v>
      </c>
      <c r="H15" s="7">
        <f t="shared" si="0"/>
        <v>306209</v>
      </c>
      <c r="I15" s="7">
        <f t="shared" si="0"/>
        <v>316664</v>
      </c>
      <c r="J15" s="7">
        <f t="shared" si="0"/>
        <v>189341</v>
      </c>
      <c r="K15" s="7">
        <f t="shared" si="0"/>
        <v>0</v>
      </c>
      <c r="L15" s="7">
        <f t="shared" si="0"/>
        <v>0</v>
      </c>
    </row>
    <row r="16" spans="2:22">
      <c r="B16" s="6"/>
    </row>
    <row r="17" spans="2:12" ht="21">
      <c r="B17" s="12" t="s">
        <v>0</v>
      </c>
    </row>
    <row r="18" spans="2:12">
      <c r="B18" s="3" t="s">
        <v>2</v>
      </c>
      <c r="C18" s="4">
        <v>2005</v>
      </c>
      <c r="D18" s="4">
        <v>2006</v>
      </c>
      <c r="E18" s="4">
        <v>2007</v>
      </c>
      <c r="F18" s="4">
        <v>2008</v>
      </c>
      <c r="G18" s="4">
        <v>2009</v>
      </c>
      <c r="H18" s="4">
        <v>2010</v>
      </c>
      <c r="I18" s="4">
        <v>2011</v>
      </c>
      <c r="J18" s="4">
        <v>2012</v>
      </c>
      <c r="K18" s="4">
        <v>2013</v>
      </c>
      <c r="L18" s="4">
        <v>2014</v>
      </c>
    </row>
    <row r="19" spans="2:12">
      <c r="B19" s="5" t="s">
        <v>10</v>
      </c>
      <c r="C19" s="7">
        <v>7290</v>
      </c>
      <c r="D19" s="7">
        <v>7685</v>
      </c>
      <c r="E19" s="7">
        <v>0</v>
      </c>
      <c r="F19" s="7">
        <v>4390</v>
      </c>
      <c r="G19" s="7">
        <v>4120</v>
      </c>
      <c r="H19" s="7">
        <v>14045</v>
      </c>
      <c r="I19" s="7"/>
      <c r="J19" s="7"/>
      <c r="K19" s="7"/>
      <c r="L19" s="7"/>
    </row>
    <row r="20" spans="2:12">
      <c r="B20" s="5" t="s">
        <v>9</v>
      </c>
      <c r="C20" s="7">
        <v>17900</v>
      </c>
      <c r="D20" s="7">
        <v>20240</v>
      </c>
      <c r="E20" s="7">
        <v>17655</v>
      </c>
      <c r="F20" s="7">
        <v>36700</v>
      </c>
      <c r="G20" s="7">
        <v>21520</v>
      </c>
      <c r="H20" s="7">
        <v>23277</v>
      </c>
      <c r="I20" s="7">
        <v>22425</v>
      </c>
      <c r="J20" s="7">
        <v>46115</v>
      </c>
      <c r="K20" s="7"/>
      <c r="L20" s="7"/>
    </row>
    <row r="21" spans="2:12">
      <c r="B21" s="5" t="s">
        <v>8</v>
      </c>
      <c r="C21" s="7">
        <v>25410</v>
      </c>
      <c r="D21" s="7">
        <v>10985</v>
      </c>
      <c r="E21" s="7">
        <v>8915</v>
      </c>
      <c r="F21" s="7">
        <v>26180</v>
      </c>
      <c r="G21" s="7">
        <v>13860</v>
      </c>
      <c r="H21" s="7">
        <v>23230</v>
      </c>
      <c r="I21" s="7">
        <v>59315</v>
      </c>
      <c r="J21" s="7">
        <v>30980</v>
      </c>
      <c r="K21" s="7"/>
      <c r="L21" s="7"/>
    </row>
    <row r="22" spans="2:12">
      <c r="B22" s="5" t="s">
        <v>7</v>
      </c>
      <c r="C22" s="7">
        <v>1230</v>
      </c>
      <c r="D22" s="7">
        <v>1095</v>
      </c>
      <c r="E22" s="7">
        <v>1845</v>
      </c>
      <c r="F22" s="7">
        <v>2655</v>
      </c>
      <c r="G22" s="7">
        <v>7320</v>
      </c>
      <c r="H22" s="7">
        <v>15225</v>
      </c>
      <c r="I22" s="7">
        <v>4240</v>
      </c>
      <c r="J22" s="7">
        <v>4855</v>
      </c>
      <c r="K22" s="7"/>
      <c r="L22" s="7"/>
    </row>
    <row r="23" spans="2:12">
      <c r="B23" s="5" t="s">
        <v>6</v>
      </c>
      <c r="C23" s="7">
        <v>31910</v>
      </c>
      <c r="D23" s="7">
        <v>46850</v>
      </c>
      <c r="E23" s="7">
        <v>5205</v>
      </c>
      <c r="F23" s="7">
        <v>8130</v>
      </c>
      <c r="G23" s="7">
        <v>6255</v>
      </c>
      <c r="H23" s="7"/>
      <c r="I23" s="7"/>
      <c r="J23" s="7">
        <v>890</v>
      </c>
      <c r="K23" s="7"/>
      <c r="L23" s="7"/>
    </row>
    <row r="24" spans="2:12">
      <c r="B24" s="5" t="s">
        <v>5</v>
      </c>
      <c r="C24" s="7">
        <v>10833</v>
      </c>
      <c r="D24" s="7">
        <v>6935</v>
      </c>
      <c r="E24" s="7">
        <v>3550</v>
      </c>
      <c r="F24" s="7">
        <v>6900</v>
      </c>
      <c r="G24" s="7">
        <v>21875</v>
      </c>
      <c r="H24" s="7">
        <v>6580</v>
      </c>
      <c r="I24" s="7">
        <v>4705</v>
      </c>
      <c r="J24" s="7">
        <v>2880</v>
      </c>
      <c r="K24" s="7"/>
      <c r="L24" s="7"/>
    </row>
    <row r="25" spans="2:12">
      <c r="B25" s="3" t="s">
        <v>4</v>
      </c>
      <c r="C25" s="11">
        <v>36925</v>
      </c>
      <c r="D25" s="11">
        <v>37530</v>
      </c>
      <c r="E25" s="11">
        <v>22460</v>
      </c>
      <c r="F25" s="11">
        <v>57990</v>
      </c>
      <c r="G25" s="11">
        <v>57070</v>
      </c>
      <c r="H25" s="11">
        <v>38490</v>
      </c>
      <c r="I25" s="11">
        <v>41990</v>
      </c>
      <c r="J25" s="11">
        <v>37755</v>
      </c>
      <c r="K25" s="11"/>
      <c r="L25" s="11"/>
    </row>
    <row r="26" spans="2:12">
      <c r="B26" s="6"/>
      <c r="C26" s="7">
        <f t="shared" ref="C26" si="1">SUM(C19:C25)</f>
        <v>131498</v>
      </c>
      <c r="D26" s="7">
        <f t="shared" ref="D26" si="2">SUM(D19:D25)</f>
        <v>131320</v>
      </c>
      <c r="E26" s="7">
        <f t="shared" ref="E26" si="3">SUM(E19:E25)</f>
        <v>59630</v>
      </c>
      <c r="F26" s="7">
        <f t="shared" ref="F26" si="4">SUM(F19:F25)</f>
        <v>142945</v>
      </c>
      <c r="G26" s="7">
        <f t="shared" ref="G26" si="5">SUM(G19:G25)</f>
        <v>132020</v>
      </c>
      <c r="H26" s="7">
        <f t="shared" ref="H26" si="6">SUM(H19:H25)</f>
        <v>120847</v>
      </c>
      <c r="I26" s="7">
        <f t="shared" ref="I26" si="7">SUM(I19:I25)</f>
        <v>132675</v>
      </c>
      <c r="J26" s="7">
        <f t="shared" ref="J26" si="8">SUM(J19:J25)</f>
        <v>123475</v>
      </c>
      <c r="K26" s="7">
        <f t="shared" ref="K26" si="9">SUM(K19:K25)</f>
        <v>0</v>
      </c>
      <c r="L26" s="7">
        <f t="shared" ref="L26" si="10">SUM(L19:L25)</f>
        <v>0</v>
      </c>
    </row>
    <row r="30" spans="2:12" ht="18.75">
      <c r="B30" s="14" t="s">
        <v>16</v>
      </c>
    </row>
    <row r="32" spans="2:12" ht="21">
      <c r="B32" s="12" t="s">
        <v>1</v>
      </c>
    </row>
    <row r="33" spans="2:22">
      <c r="B33" s="3" t="s">
        <v>11</v>
      </c>
      <c r="C33" s="4">
        <v>2005</v>
      </c>
      <c r="D33" s="4">
        <v>2006</v>
      </c>
      <c r="E33" s="4">
        <v>2007</v>
      </c>
      <c r="F33" s="4">
        <v>2008</v>
      </c>
      <c r="G33" s="4">
        <v>2009</v>
      </c>
      <c r="H33" s="4">
        <v>2010</v>
      </c>
      <c r="I33" s="4">
        <v>2011</v>
      </c>
      <c r="J33" s="4">
        <v>2012</v>
      </c>
      <c r="K33" s="4">
        <v>2013</v>
      </c>
      <c r="L33" s="4">
        <v>2014</v>
      </c>
      <c r="V33" s="8"/>
    </row>
    <row r="34" spans="2:22">
      <c r="B34" s="5" t="s">
        <v>10</v>
      </c>
      <c r="C34" s="2">
        <v>20</v>
      </c>
      <c r="D34" s="2">
        <v>10</v>
      </c>
      <c r="E34" s="2">
        <v>13</v>
      </c>
      <c r="F34" s="2">
        <v>169</v>
      </c>
      <c r="G34" s="2">
        <v>87</v>
      </c>
      <c r="H34" s="2">
        <v>23</v>
      </c>
      <c r="I34" s="2">
        <v>3</v>
      </c>
      <c r="J34" s="2">
        <v>1</v>
      </c>
    </row>
    <row r="35" spans="2:22">
      <c r="B35" s="5" t="s">
        <v>9</v>
      </c>
      <c r="C35" s="2">
        <v>85</v>
      </c>
      <c r="D35" s="2">
        <v>106</v>
      </c>
      <c r="E35" s="2">
        <v>90</v>
      </c>
      <c r="F35" s="2">
        <v>58</v>
      </c>
      <c r="G35" s="2">
        <v>60</v>
      </c>
      <c r="H35" s="2">
        <v>97</v>
      </c>
      <c r="I35" s="2">
        <v>79</v>
      </c>
      <c r="J35" s="2">
        <v>71</v>
      </c>
    </row>
    <row r="36" spans="2:22">
      <c r="B36" s="5" t="s">
        <v>8</v>
      </c>
      <c r="C36" s="2">
        <v>78</v>
      </c>
      <c r="D36" s="2">
        <v>64</v>
      </c>
      <c r="E36" s="2">
        <v>105</v>
      </c>
      <c r="F36" s="2">
        <v>28</v>
      </c>
      <c r="G36" s="2">
        <v>29</v>
      </c>
      <c r="H36" s="2">
        <v>39</v>
      </c>
      <c r="I36" s="2">
        <v>46</v>
      </c>
      <c r="J36" s="2">
        <v>20</v>
      </c>
    </row>
    <row r="37" spans="2:22">
      <c r="B37" s="5" t="s">
        <v>7</v>
      </c>
      <c r="C37" s="2">
        <v>14</v>
      </c>
      <c r="D37" s="2">
        <v>16</v>
      </c>
      <c r="E37" s="2">
        <v>17</v>
      </c>
      <c r="F37" s="2">
        <v>19</v>
      </c>
      <c r="G37" s="2">
        <v>20</v>
      </c>
      <c r="H37" s="2">
        <v>21</v>
      </c>
      <c r="I37" s="2">
        <v>21</v>
      </c>
      <c r="J37" s="2">
        <v>12</v>
      </c>
    </row>
    <row r="38" spans="2:22">
      <c r="B38" s="5" t="s">
        <v>6</v>
      </c>
      <c r="C38" s="2">
        <v>17</v>
      </c>
      <c r="D38" s="2">
        <v>15</v>
      </c>
      <c r="E38" s="2">
        <v>17</v>
      </c>
      <c r="F38" s="2">
        <v>11</v>
      </c>
      <c r="G38" s="2">
        <v>13</v>
      </c>
      <c r="H38" s="2">
        <v>19</v>
      </c>
      <c r="I38" s="2">
        <v>16</v>
      </c>
      <c r="J38" s="2">
        <v>1</v>
      </c>
    </row>
    <row r="39" spans="2:22">
      <c r="B39" s="5" t="s">
        <v>5</v>
      </c>
      <c r="C39" s="2">
        <v>33</v>
      </c>
      <c r="D39" s="2">
        <v>14</v>
      </c>
      <c r="E39" s="2">
        <v>22</v>
      </c>
      <c r="F39" s="2">
        <v>13</v>
      </c>
      <c r="G39" s="2">
        <v>16</v>
      </c>
      <c r="H39" s="2">
        <v>32</v>
      </c>
      <c r="I39" s="2">
        <v>43</v>
      </c>
      <c r="J39" s="2">
        <v>15</v>
      </c>
    </row>
    <row r="40" spans="2:22">
      <c r="B40" s="3" t="s">
        <v>4</v>
      </c>
      <c r="C40" s="9">
        <v>43</v>
      </c>
      <c r="D40" s="9">
        <v>54</v>
      </c>
      <c r="E40" s="9">
        <v>60</v>
      </c>
      <c r="F40" s="9">
        <v>48</v>
      </c>
      <c r="G40" s="9">
        <v>39</v>
      </c>
      <c r="H40" s="9">
        <v>60</v>
      </c>
      <c r="I40" s="9">
        <v>80</v>
      </c>
      <c r="J40" s="9">
        <v>65</v>
      </c>
      <c r="K40" s="9"/>
      <c r="L40" s="9"/>
    </row>
    <row r="41" spans="2:22">
      <c r="C41" s="10">
        <f t="shared" ref="C41:L41" si="11">SUM(C34:C40)</f>
        <v>290</v>
      </c>
      <c r="D41" s="10">
        <f t="shared" si="11"/>
        <v>279</v>
      </c>
      <c r="E41" s="10">
        <f t="shared" si="11"/>
        <v>324</v>
      </c>
      <c r="F41" s="10">
        <f t="shared" si="11"/>
        <v>346</v>
      </c>
      <c r="G41" s="10">
        <f t="shared" si="11"/>
        <v>264</v>
      </c>
      <c r="H41" s="10">
        <f t="shared" si="11"/>
        <v>291</v>
      </c>
      <c r="I41" s="10">
        <f t="shared" si="11"/>
        <v>288</v>
      </c>
      <c r="J41" s="10">
        <f t="shared" si="11"/>
        <v>185</v>
      </c>
      <c r="K41" s="10">
        <f t="shared" si="11"/>
        <v>0</v>
      </c>
      <c r="L41" s="10">
        <f t="shared" si="11"/>
        <v>0</v>
      </c>
    </row>
    <row r="42" spans="2:22">
      <c r="B42" s="6"/>
    </row>
    <row r="43" spans="2:22" ht="21">
      <c r="B43" s="12" t="s">
        <v>0</v>
      </c>
    </row>
    <row r="44" spans="2:22">
      <c r="B44" s="3" t="s">
        <v>11</v>
      </c>
      <c r="C44" s="4">
        <v>2005</v>
      </c>
      <c r="D44" s="4">
        <v>2006</v>
      </c>
      <c r="E44" s="4">
        <v>2007</v>
      </c>
      <c r="F44" s="4">
        <v>2008</v>
      </c>
      <c r="G44" s="4">
        <v>2009</v>
      </c>
      <c r="H44" s="4">
        <v>2010</v>
      </c>
      <c r="I44" s="4">
        <v>2011</v>
      </c>
      <c r="J44" s="4">
        <v>2012</v>
      </c>
      <c r="K44" s="4">
        <v>2013</v>
      </c>
      <c r="L44" s="4">
        <v>2014</v>
      </c>
    </row>
    <row r="45" spans="2:22">
      <c r="B45" s="5" t="s">
        <v>10</v>
      </c>
      <c r="C45" s="2">
        <v>8</v>
      </c>
      <c r="D45" s="2">
        <v>5</v>
      </c>
      <c r="E45" s="2">
        <v>1</v>
      </c>
      <c r="F45" s="2">
        <v>5</v>
      </c>
      <c r="G45" s="2">
        <v>4</v>
      </c>
      <c r="H45" s="2">
        <v>6</v>
      </c>
    </row>
    <row r="46" spans="2:22">
      <c r="B46" s="5" t="s">
        <v>9</v>
      </c>
      <c r="C46" s="2">
        <v>20</v>
      </c>
      <c r="D46" s="2">
        <v>34</v>
      </c>
      <c r="E46" s="2">
        <v>17</v>
      </c>
      <c r="F46" s="2">
        <v>40</v>
      </c>
      <c r="G46" s="2">
        <v>49</v>
      </c>
      <c r="H46" s="2">
        <v>45</v>
      </c>
      <c r="I46" s="2">
        <v>43</v>
      </c>
      <c r="J46" s="2">
        <v>45</v>
      </c>
    </row>
    <row r="47" spans="2:22">
      <c r="B47" s="5" t="s">
        <v>8</v>
      </c>
      <c r="C47" s="2">
        <v>41</v>
      </c>
      <c r="D47" s="2">
        <v>22</v>
      </c>
      <c r="E47" s="2">
        <v>19</v>
      </c>
      <c r="F47" s="2">
        <v>37</v>
      </c>
      <c r="G47" s="2">
        <v>24</v>
      </c>
      <c r="H47" s="2">
        <v>32</v>
      </c>
      <c r="I47" s="2">
        <v>43</v>
      </c>
      <c r="J47" s="2">
        <v>34</v>
      </c>
    </row>
    <row r="48" spans="2:22">
      <c r="B48" s="5" t="s">
        <v>7</v>
      </c>
      <c r="C48" s="2">
        <v>2</v>
      </c>
      <c r="D48" s="2">
        <v>7</v>
      </c>
      <c r="E48" s="2">
        <v>2</v>
      </c>
      <c r="F48" s="2">
        <v>4</v>
      </c>
      <c r="G48" s="2">
        <v>6</v>
      </c>
      <c r="H48" s="2">
        <v>9</v>
      </c>
      <c r="I48" s="2">
        <v>7</v>
      </c>
      <c r="J48" s="2">
        <v>10</v>
      </c>
    </row>
    <row r="49" spans="2:12">
      <c r="B49" s="5" t="s">
        <v>6</v>
      </c>
      <c r="C49" s="2">
        <v>8</v>
      </c>
      <c r="D49" s="2">
        <v>6</v>
      </c>
      <c r="E49" s="2">
        <v>7</v>
      </c>
      <c r="F49" s="2">
        <v>5</v>
      </c>
      <c r="G49" s="2">
        <v>2</v>
      </c>
      <c r="J49" s="2">
        <v>1</v>
      </c>
    </row>
    <row r="50" spans="2:12">
      <c r="B50" s="5" t="s">
        <v>5</v>
      </c>
      <c r="C50" s="2">
        <v>27</v>
      </c>
      <c r="D50" s="2">
        <v>20</v>
      </c>
      <c r="E50" s="2">
        <v>11</v>
      </c>
      <c r="F50" s="2">
        <v>22</v>
      </c>
      <c r="G50" s="2">
        <v>15</v>
      </c>
      <c r="H50" s="2">
        <v>17</v>
      </c>
      <c r="I50" s="2">
        <v>15</v>
      </c>
      <c r="J50" s="2">
        <v>11</v>
      </c>
    </row>
    <row r="51" spans="2:12">
      <c r="B51" s="3" t="s">
        <v>4</v>
      </c>
      <c r="C51" s="9">
        <v>25</v>
      </c>
      <c r="D51" s="9">
        <v>25</v>
      </c>
      <c r="E51" s="9">
        <v>15</v>
      </c>
      <c r="F51" s="9">
        <v>39</v>
      </c>
      <c r="G51" s="9">
        <v>39</v>
      </c>
      <c r="H51" s="9">
        <v>25</v>
      </c>
      <c r="I51" s="9">
        <v>46</v>
      </c>
      <c r="J51" s="9">
        <v>38</v>
      </c>
      <c r="K51" s="9"/>
      <c r="L51" s="9"/>
    </row>
    <row r="52" spans="2:12">
      <c r="B52" s="6"/>
      <c r="C52" s="10">
        <f t="shared" ref="C52:L52" si="12">SUM(C45:C51)</f>
        <v>131</v>
      </c>
      <c r="D52" s="10">
        <f t="shared" si="12"/>
        <v>119</v>
      </c>
      <c r="E52" s="10">
        <f t="shared" si="12"/>
        <v>72</v>
      </c>
      <c r="F52" s="10">
        <f t="shared" si="12"/>
        <v>152</v>
      </c>
      <c r="G52" s="10">
        <f t="shared" si="12"/>
        <v>139</v>
      </c>
      <c r="H52" s="10">
        <f t="shared" si="12"/>
        <v>134</v>
      </c>
      <c r="I52" s="10">
        <f t="shared" si="12"/>
        <v>154</v>
      </c>
      <c r="J52" s="10">
        <f t="shared" si="12"/>
        <v>139</v>
      </c>
      <c r="K52" s="10">
        <f t="shared" si="12"/>
        <v>0</v>
      </c>
      <c r="L52" s="10">
        <f t="shared" si="12"/>
        <v>0</v>
      </c>
    </row>
    <row r="59" spans="2:12">
      <c r="B59" s="6"/>
    </row>
    <row r="60" spans="2:12">
      <c r="B60" s="6"/>
    </row>
    <row r="61" spans="2:12">
      <c r="B61" s="6"/>
    </row>
  </sheetData>
  <pageMargins left="0.7" right="0.7" top="0.75" bottom="0.75" header="0.3" footer="0.3"/>
  <pageSetup paperSize="9" orientation="portrait" horizontalDpi="4294967292" vertic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C.Comercial</vt:lpstr>
      <vt:lpstr>Viviendas 1</vt:lpstr>
      <vt:lpstr>Viviendas 2</vt:lpstr>
      <vt:lpstr>Of. por Áreas (old)</vt:lpstr>
    </vt:vector>
  </TitlesOfParts>
  <Company>PropertyWeb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PropertyWeb</dc:creator>
  <cp:lastModifiedBy>PropertyWeb</cp:lastModifiedBy>
  <cp:lastPrinted>2015-01-09T08:46:27Z</cp:lastPrinted>
  <dcterms:created xsi:type="dcterms:W3CDTF">2012-09-23T14:30:17Z</dcterms:created>
  <dcterms:modified xsi:type="dcterms:W3CDTF">2015-10-29T09:37:22Z</dcterms:modified>
</cp:coreProperties>
</file>