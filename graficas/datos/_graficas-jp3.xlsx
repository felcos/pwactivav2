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0" windowWidth="33435" windowHeight="15990" tabRatio="672" activeTab="1"/>
  </bookViews>
  <sheets>
    <sheet name="Oficinas" sheetId="10" r:id="rId1"/>
    <sheet name="Areas" sheetId="11" r:id="rId2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25" i="11"/>
  <c r="D25"/>
  <c r="E25"/>
  <c r="F25"/>
  <c r="G25"/>
  <c r="H25"/>
  <c r="I25"/>
  <c r="J25"/>
  <c r="K25"/>
  <c r="L25"/>
  <c r="C51"/>
  <c r="D51"/>
  <c r="E51"/>
  <c r="F51"/>
  <c r="G51"/>
  <c r="H51"/>
  <c r="I51"/>
  <c r="J51"/>
  <c r="K51"/>
  <c r="L51"/>
  <c r="L39"/>
  <c r="K39"/>
  <c r="J39"/>
  <c r="I39"/>
  <c r="H39"/>
  <c r="G39"/>
  <c r="F39"/>
  <c r="E39"/>
  <c r="D39"/>
  <c r="C39"/>
  <c r="C13"/>
  <c r="D13"/>
  <c r="E13"/>
  <c r="F13"/>
  <c r="G13"/>
  <c r="H13"/>
  <c r="I13"/>
  <c r="J13"/>
  <c r="K13"/>
  <c r="L13"/>
</calcChain>
</file>

<file path=xl/sharedStrings.xml><?xml version="1.0" encoding="utf-8"?>
<sst xmlns="http://schemas.openxmlformats.org/spreadsheetml/2006/main" count="51" uniqueCount="20">
  <si>
    <t>AÑO</t>
  </si>
  <si>
    <t>%</t>
  </si>
  <si>
    <t>Barcelona</t>
  </si>
  <si>
    <t>Madrid</t>
  </si>
  <si>
    <t>Take Up</t>
  </si>
  <si>
    <t>€/m2/mes</t>
  </si>
  <si>
    <t>M2</t>
  </si>
  <si>
    <t>Rentabilidad</t>
  </si>
  <si>
    <t>Oficinas</t>
  </si>
  <si>
    <t>DEC</t>
  </si>
  <si>
    <t>PRIME</t>
  </si>
  <si>
    <t>OUT</t>
  </si>
  <si>
    <t>A3</t>
  </si>
  <si>
    <t>A2</t>
  </si>
  <si>
    <t>A1</t>
  </si>
  <si>
    <t>N/D</t>
  </si>
  <si>
    <t>Nº Ops</t>
  </si>
  <si>
    <t>m2</t>
  </si>
  <si>
    <t>Renta Prime (máx)</t>
  </si>
  <si>
    <t>Evolución de Transacciones por Áreas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</si>
</sst>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5" fillId="2" borderId="0" xfId="1" applyFont="1" applyFill="1"/>
    <xf numFmtId="0" fontId="1" fillId="2" borderId="0" xfId="1" applyFill="1"/>
    <xf numFmtId="0" fontId="4" fillId="2" borderId="3" xfId="1" applyFont="1" applyFill="1" applyBorder="1"/>
    <xf numFmtId="0" fontId="4" fillId="2" borderId="1" xfId="1" applyFont="1" applyFill="1" applyBorder="1"/>
    <xf numFmtId="0" fontId="4" fillId="2" borderId="2" xfId="1" applyFont="1" applyFill="1" applyBorder="1"/>
    <xf numFmtId="0" fontId="4" fillId="2" borderId="0" xfId="1" applyFont="1" applyFill="1" applyBorder="1"/>
    <xf numFmtId="3" fontId="1" fillId="2" borderId="0" xfId="1" applyNumberFormat="1" applyFill="1"/>
    <xf numFmtId="0" fontId="6" fillId="2" borderId="0" xfId="1" applyFont="1" applyFill="1"/>
    <xf numFmtId="2" fontId="3" fillId="2" borderId="0" xfId="0" applyNumberFormat="1" applyFont="1" applyFill="1"/>
    <xf numFmtId="2" fontId="3" fillId="2" borderId="0" xfId="0" applyNumberFormat="1" applyFont="1" applyFill="1" applyBorder="1"/>
    <xf numFmtId="0" fontId="0" fillId="2" borderId="0" xfId="0" applyFill="1"/>
    <xf numFmtId="0" fontId="8" fillId="2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8" fillId="2" borderId="1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2" fontId="2" fillId="2" borderId="0" xfId="0" applyNumberFormat="1" applyFont="1" applyFill="1" applyAlignment="1"/>
    <xf numFmtId="3" fontId="2" fillId="2" borderId="0" xfId="0" applyNumberFormat="1" applyFont="1" applyFill="1"/>
    <xf numFmtId="2" fontId="2" fillId="2" borderId="0" xfId="0" applyNumberFormat="1" applyFont="1" applyFill="1"/>
    <xf numFmtId="0" fontId="0" fillId="2" borderId="0" xfId="0" applyFill="1" applyBorder="1"/>
    <xf numFmtId="0" fontId="1" fillId="2" borderId="1" xfId="1" applyFill="1" applyBorder="1"/>
    <xf numFmtId="0" fontId="4" fillId="2" borderId="0" xfId="1" applyFont="1" applyFill="1"/>
    <xf numFmtId="3" fontId="1" fillId="2" borderId="1" xfId="1" applyNumberFormat="1" applyFill="1" applyBorder="1"/>
    <xf numFmtId="2" fontId="3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9"/>
  <colors>
    <mruColors>
      <color rgb="FF010000"/>
      <color rgb="FF996633"/>
      <color rgb="FF00FFFF"/>
      <color rgb="FF2B4E61"/>
      <color rgb="FFFE6700"/>
      <color rgb="FFE8E8E8"/>
      <color rgb="FFD3D3D3"/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ES"/>
            </a:pPr>
            <a:r>
              <a:rPr lang="es-ES" sz="1400">
                <a:ln>
                  <a:noFill/>
                </a:ln>
                <a:solidFill>
                  <a:srgbClr val="2B4E61"/>
                </a:solidFill>
                <a:latin typeface="Helvetica"/>
                <a:cs typeface="Helvetica"/>
              </a:rPr>
              <a:t>RENTA PRIME</a:t>
            </a:r>
            <a:endParaRPr lang="es-ES" sz="1400" baseline="0">
              <a:ln>
                <a:noFill/>
              </a:ln>
              <a:solidFill>
                <a:srgbClr val="2B4E61"/>
              </a:solidFill>
              <a:latin typeface="Helvetica"/>
              <a:cs typeface="Helvetica"/>
            </a:endParaRPr>
          </a:p>
        </c:rich>
      </c:tx>
      <c:layout>
        <c:manualLayout>
          <c:xMode val="edge"/>
          <c:yMode val="edge"/>
          <c:x val="0.70470358306188963"/>
          <c:y val="1.7138484887552707E-2"/>
        </c:manualLayout>
      </c:layout>
      <c:overlay val="1"/>
      <c:spPr>
        <a:noFill/>
        <a:ln>
          <a:noFill/>
        </a:ln>
      </c:spPr>
    </c:title>
    <c:plotArea>
      <c:layout>
        <c:manualLayout>
          <c:layoutTarget val="inner"/>
          <c:xMode val="edge"/>
          <c:yMode val="edge"/>
          <c:x val="0.11612692772868029"/>
          <c:y val="5.3809575432130101E-2"/>
          <c:w val="0.85565107420846165"/>
          <c:h val="0.79016286380968959"/>
        </c:manualLayout>
      </c:layout>
      <c:lineChart>
        <c:grouping val="standard"/>
        <c:ser>
          <c:idx val="0"/>
          <c:order val="0"/>
          <c:tx>
            <c:strRef>
              <c:f>Oficinas!$D$4</c:f>
              <c:strCache>
                <c:ptCount val="1"/>
                <c:pt idx="0">
                  <c:v>Barcelona</c:v>
                </c:pt>
              </c:strCache>
            </c:strRef>
          </c:tx>
          <c:spPr>
            <a:ln w="76200" cap="rnd" cmpd="sng" algn="ctr">
              <a:solidFill>
                <a:srgbClr val="2B4E6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Oficinas!$B$5:$B$35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Oficinas!$D$5:$D$35</c:f>
              <c:numCache>
                <c:formatCode>0.00</c:formatCode>
                <c:ptCount val="31"/>
                <c:pt idx="0">
                  <c:v>7.8</c:v>
                </c:pt>
                <c:pt idx="1">
                  <c:v>9</c:v>
                </c:pt>
                <c:pt idx="2">
                  <c:v>10.8</c:v>
                </c:pt>
                <c:pt idx="3">
                  <c:v>15</c:v>
                </c:pt>
                <c:pt idx="4">
                  <c:v>19.25</c:v>
                </c:pt>
                <c:pt idx="5">
                  <c:v>22.5</c:v>
                </c:pt>
                <c:pt idx="6">
                  <c:v>25.85</c:v>
                </c:pt>
                <c:pt idx="7">
                  <c:v>29.45</c:v>
                </c:pt>
                <c:pt idx="8">
                  <c:v>21.35</c:v>
                </c:pt>
                <c:pt idx="9">
                  <c:v>15.75</c:v>
                </c:pt>
                <c:pt idx="10">
                  <c:v>13.25</c:v>
                </c:pt>
                <c:pt idx="11">
                  <c:v>11.5</c:v>
                </c:pt>
                <c:pt idx="12">
                  <c:v>13.85</c:v>
                </c:pt>
                <c:pt idx="13">
                  <c:v>14.5</c:v>
                </c:pt>
                <c:pt idx="14">
                  <c:v>20.25</c:v>
                </c:pt>
                <c:pt idx="15">
                  <c:v>24</c:v>
                </c:pt>
                <c:pt idx="16">
                  <c:v>27</c:v>
                </c:pt>
                <c:pt idx="17">
                  <c:v>25</c:v>
                </c:pt>
                <c:pt idx="18">
                  <c:v>22.85</c:v>
                </c:pt>
                <c:pt idx="19">
                  <c:v>24</c:v>
                </c:pt>
                <c:pt idx="20">
                  <c:v>24</c:v>
                </c:pt>
                <c:pt idx="21">
                  <c:v>25</c:v>
                </c:pt>
                <c:pt idx="22">
                  <c:v>27.5</c:v>
                </c:pt>
                <c:pt idx="23">
                  <c:v>25</c:v>
                </c:pt>
                <c:pt idx="24">
                  <c:v>22</c:v>
                </c:pt>
                <c:pt idx="25">
                  <c:v>20</c:v>
                </c:pt>
                <c:pt idx="26">
                  <c:v>19</c:v>
                </c:pt>
                <c:pt idx="27">
                  <c:v>18</c:v>
                </c:pt>
                <c:pt idx="28">
                  <c:v>17.75</c:v>
                </c:pt>
                <c:pt idx="29">
                  <c:v>17.75</c:v>
                </c:pt>
              </c:numCache>
            </c:numRef>
          </c:val>
        </c:ser>
        <c:ser>
          <c:idx val="1"/>
          <c:order val="1"/>
          <c:tx>
            <c:strRef>
              <c:f>Oficinas!$E$4</c:f>
              <c:strCache>
                <c:ptCount val="1"/>
                <c:pt idx="0">
                  <c:v>Madrid</c:v>
                </c:pt>
              </c:strCache>
            </c:strRef>
          </c:tx>
          <c:spPr>
            <a:ln w="76200" cap="rnd" cmpd="sng" algn="ctr">
              <a:solidFill>
                <a:srgbClr val="FE67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Oficinas!$B$5:$B$35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Oficinas!$E$5:$E$35</c:f>
              <c:numCache>
                <c:formatCode>0.00</c:formatCode>
                <c:ptCount val="31"/>
                <c:pt idx="0">
                  <c:v>9.6</c:v>
                </c:pt>
                <c:pt idx="1">
                  <c:v>13.25</c:v>
                </c:pt>
                <c:pt idx="2">
                  <c:v>15</c:v>
                </c:pt>
                <c:pt idx="3">
                  <c:v>20</c:v>
                </c:pt>
                <c:pt idx="4">
                  <c:v>25.5</c:v>
                </c:pt>
                <c:pt idx="5">
                  <c:v>31.55</c:v>
                </c:pt>
                <c:pt idx="6">
                  <c:v>33</c:v>
                </c:pt>
                <c:pt idx="7">
                  <c:v>20.239999999999998</c:v>
                </c:pt>
                <c:pt idx="8">
                  <c:v>16.25</c:v>
                </c:pt>
                <c:pt idx="9">
                  <c:v>15</c:v>
                </c:pt>
                <c:pt idx="10">
                  <c:v>15</c:v>
                </c:pt>
                <c:pt idx="11">
                  <c:v>16.25</c:v>
                </c:pt>
                <c:pt idx="12">
                  <c:v>17.45</c:v>
                </c:pt>
                <c:pt idx="13">
                  <c:v>19.850000000000001</c:v>
                </c:pt>
                <c:pt idx="14">
                  <c:v>27</c:v>
                </c:pt>
                <c:pt idx="15">
                  <c:v>36</c:v>
                </c:pt>
                <c:pt idx="16">
                  <c:v>34.5</c:v>
                </c:pt>
                <c:pt idx="17">
                  <c:v>30.85</c:v>
                </c:pt>
                <c:pt idx="18">
                  <c:v>26.7</c:v>
                </c:pt>
                <c:pt idx="19">
                  <c:v>25.5</c:v>
                </c:pt>
                <c:pt idx="20">
                  <c:v>27.25</c:v>
                </c:pt>
                <c:pt idx="21">
                  <c:v>38</c:v>
                </c:pt>
                <c:pt idx="22">
                  <c:v>40</c:v>
                </c:pt>
                <c:pt idx="23">
                  <c:v>32</c:v>
                </c:pt>
                <c:pt idx="24">
                  <c:v>28.5</c:v>
                </c:pt>
                <c:pt idx="25">
                  <c:v>26.75</c:v>
                </c:pt>
                <c:pt idx="26">
                  <c:v>25.75</c:v>
                </c:pt>
                <c:pt idx="27">
                  <c:v>25</c:v>
                </c:pt>
                <c:pt idx="28">
                  <c:v>24.25</c:v>
                </c:pt>
                <c:pt idx="29">
                  <c:v>28</c:v>
                </c:pt>
              </c:numCache>
            </c:numRef>
          </c:val>
        </c:ser>
        <c:marker val="1"/>
        <c:axId val="50043136"/>
        <c:axId val="56360960"/>
      </c:lineChart>
      <c:catAx>
        <c:axId val="5004313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360960"/>
        <c:crosses val="autoZero"/>
        <c:auto val="1"/>
        <c:lblAlgn val="ctr"/>
        <c:lblOffset val="100"/>
        <c:tickLblSkip val="5"/>
      </c:catAx>
      <c:valAx>
        <c:axId val="56360960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lang="es-ES" b="1">
                    <a:latin typeface="Helvetica"/>
                    <a:cs typeface="Helvetica"/>
                  </a:defRPr>
                </a:pPr>
                <a:r>
                  <a:rPr lang="es-ES" b="1">
                    <a:latin typeface="Helvetica"/>
                    <a:cs typeface="Helvetica"/>
                  </a:rPr>
                  <a:t>€</a:t>
                </a:r>
                <a:r>
                  <a:rPr lang="es-ES" b="1" baseline="0">
                    <a:latin typeface="Helvetica"/>
                    <a:cs typeface="Helvetica"/>
                  </a:rPr>
                  <a:t> / m2 / mes</a:t>
                </a:r>
              </a:p>
            </c:rich>
          </c:tx>
          <c:layout/>
        </c:title>
        <c:numFmt formatCode="0.00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 sz="800" b="1" baseline="0">
                <a:latin typeface="Helvetica"/>
                <a:cs typeface="Helvetica"/>
              </a:defRPr>
            </a:pPr>
            <a:endParaRPr lang="es-ES"/>
          </a:p>
        </c:txPr>
        <c:crossAx val="500431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5539829182589961"/>
          <c:y val="0.59789673402487564"/>
          <c:w val="0.27414923994921286"/>
          <c:h val="0.16045713631845104"/>
        </c:manualLayout>
      </c:layout>
      <c:spPr>
        <a:noFill/>
      </c:spPr>
      <c:txPr>
        <a:bodyPr/>
        <a:lstStyle/>
        <a:p>
          <a:pPr>
            <a:defRPr lang="es-ES" sz="1200" b="1" baseline="0">
              <a:solidFill>
                <a:srgbClr val="2B4E61"/>
              </a:solidFill>
              <a:latin typeface="Helvetica"/>
              <a:cs typeface="Helvetica"/>
            </a:defRPr>
          </a:pPr>
          <a:endParaRPr lang="es-ES"/>
        </a:p>
      </c:txPr>
    </c:legend>
    <c:plotVisOnly val="1"/>
    <c:dispBlanksAs val="gap"/>
  </c:chart>
  <c:spPr>
    <a:noFill/>
    <a:ln>
      <a:noFill/>
    </a:ln>
  </c:spPr>
  <c:printSettings>
    <c:headerFooter/>
    <c:pageMargins b="0.75000000000000189" l="0.70000000000000162" r="0.700000000000001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ES"/>
            </a:pPr>
            <a:r>
              <a:rPr lang="es-ES" sz="1400" baseline="0">
                <a:ln>
                  <a:noFill/>
                </a:ln>
                <a:solidFill>
                  <a:srgbClr val="2B4E61"/>
                </a:solidFill>
                <a:latin typeface="Helvetica"/>
                <a:cs typeface="Helvetica"/>
              </a:rPr>
              <a:t>TAKE UP</a:t>
            </a:r>
          </a:p>
        </c:rich>
      </c:tx>
      <c:layout>
        <c:manualLayout>
          <c:xMode val="edge"/>
          <c:yMode val="edge"/>
          <c:x val="0.80471640719177195"/>
          <c:y val="3.8471827179769991E-2"/>
        </c:manualLayout>
      </c:layout>
      <c:overlay val="1"/>
      <c:spPr>
        <a:noFill/>
        <a:ln>
          <a:noFill/>
        </a:ln>
      </c:spPr>
    </c:title>
    <c:plotArea>
      <c:layout>
        <c:manualLayout>
          <c:layoutTarget val="inner"/>
          <c:xMode val="edge"/>
          <c:yMode val="edge"/>
          <c:x val="0.11612692772868036"/>
          <c:y val="5.3809575432130101E-2"/>
          <c:w val="0.85565107420846198"/>
          <c:h val="0.79016286380968959"/>
        </c:manualLayout>
      </c:layout>
      <c:lineChart>
        <c:grouping val="standard"/>
        <c:ser>
          <c:idx val="0"/>
          <c:order val="0"/>
          <c:tx>
            <c:strRef>
              <c:f>Oficinas!$G$4</c:f>
              <c:strCache>
                <c:ptCount val="1"/>
                <c:pt idx="0">
                  <c:v>Barcelona</c:v>
                </c:pt>
              </c:strCache>
            </c:strRef>
          </c:tx>
          <c:spPr>
            <a:ln w="76200" cap="rnd" cmpd="sng" algn="ctr">
              <a:solidFill>
                <a:srgbClr val="2B4E6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Oficinas!$B$5:$B$35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Oficinas!$G$5:$G$35</c:f>
              <c:numCache>
                <c:formatCode>#,##0</c:formatCode>
                <c:ptCount val="31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70000</c:v>
                </c:pt>
                <c:pt idx="4">
                  <c:v>95000</c:v>
                </c:pt>
                <c:pt idx="5">
                  <c:v>260000</c:v>
                </c:pt>
                <c:pt idx="6">
                  <c:v>325000</c:v>
                </c:pt>
                <c:pt idx="7">
                  <c:v>550000</c:v>
                </c:pt>
                <c:pt idx="8">
                  <c:v>140000</c:v>
                </c:pt>
                <c:pt idx="9">
                  <c:v>225000</c:v>
                </c:pt>
                <c:pt idx="10">
                  <c:v>170000</c:v>
                </c:pt>
                <c:pt idx="11">
                  <c:v>180000</c:v>
                </c:pt>
                <c:pt idx="12">
                  <c:v>175000</c:v>
                </c:pt>
                <c:pt idx="13">
                  <c:v>251800</c:v>
                </c:pt>
                <c:pt idx="14">
                  <c:v>345300</c:v>
                </c:pt>
                <c:pt idx="15">
                  <c:v>310000</c:v>
                </c:pt>
                <c:pt idx="16">
                  <c:v>300100</c:v>
                </c:pt>
                <c:pt idx="17">
                  <c:v>281000</c:v>
                </c:pt>
                <c:pt idx="18">
                  <c:v>239000</c:v>
                </c:pt>
                <c:pt idx="19">
                  <c:v>320000</c:v>
                </c:pt>
                <c:pt idx="20">
                  <c:v>407000</c:v>
                </c:pt>
                <c:pt idx="21">
                  <c:v>386000</c:v>
                </c:pt>
                <c:pt idx="22">
                  <c:v>370000</c:v>
                </c:pt>
                <c:pt idx="23">
                  <c:v>314000</c:v>
                </c:pt>
                <c:pt idx="24">
                  <c:v>181706</c:v>
                </c:pt>
                <c:pt idx="25">
                  <c:v>174512</c:v>
                </c:pt>
                <c:pt idx="26">
                  <c:v>171140</c:v>
                </c:pt>
                <c:pt idx="27">
                  <c:v>162435</c:v>
                </c:pt>
                <c:pt idx="28">
                  <c:v>170528</c:v>
                </c:pt>
                <c:pt idx="29">
                  <c:v>185235</c:v>
                </c:pt>
              </c:numCache>
            </c:numRef>
          </c:val>
        </c:ser>
        <c:ser>
          <c:idx val="1"/>
          <c:order val="1"/>
          <c:tx>
            <c:strRef>
              <c:f>Oficinas!$H$4</c:f>
              <c:strCache>
                <c:ptCount val="1"/>
                <c:pt idx="0">
                  <c:v>Madrid</c:v>
                </c:pt>
              </c:strCache>
            </c:strRef>
          </c:tx>
          <c:spPr>
            <a:ln w="76200" cap="rnd" cmpd="sng" algn="ctr">
              <a:solidFill>
                <a:srgbClr val="FE67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Oficinas!$B$5:$B$35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Oficinas!$H$5:$H$35</c:f>
              <c:numCache>
                <c:formatCode>#,##0</c:formatCode>
                <c:ptCount val="31"/>
                <c:pt idx="0">
                  <c:v>220000</c:v>
                </c:pt>
                <c:pt idx="1">
                  <c:v>170000</c:v>
                </c:pt>
                <c:pt idx="2">
                  <c:v>150000</c:v>
                </c:pt>
                <c:pt idx="3">
                  <c:v>200000</c:v>
                </c:pt>
                <c:pt idx="4">
                  <c:v>175000</c:v>
                </c:pt>
                <c:pt idx="5">
                  <c:v>160000</c:v>
                </c:pt>
                <c:pt idx="6">
                  <c:v>147800</c:v>
                </c:pt>
                <c:pt idx="7">
                  <c:v>180000</c:v>
                </c:pt>
                <c:pt idx="8">
                  <c:v>240000</c:v>
                </c:pt>
                <c:pt idx="9">
                  <c:v>290000</c:v>
                </c:pt>
                <c:pt idx="10">
                  <c:v>317000</c:v>
                </c:pt>
                <c:pt idx="11">
                  <c:v>347000</c:v>
                </c:pt>
                <c:pt idx="12">
                  <c:v>410000</c:v>
                </c:pt>
                <c:pt idx="13">
                  <c:v>677000</c:v>
                </c:pt>
                <c:pt idx="14">
                  <c:v>595400</c:v>
                </c:pt>
                <c:pt idx="15">
                  <c:v>795000</c:v>
                </c:pt>
                <c:pt idx="16">
                  <c:v>460000</c:v>
                </c:pt>
                <c:pt idx="17">
                  <c:v>509000</c:v>
                </c:pt>
                <c:pt idx="18">
                  <c:v>610000</c:v>
                </c:pt>
                <c:pt idx="19">
                  <c:v>625000</c:v>
                </c:pt>
                <c:pt idx="20">
                  <c:v>695000</c:v>
                </c:pt>
                <c:pt idx="21">
                  <c:v>800000</c:v>
                </c:pt>
                <c:pt idx="22">
                  <c:v>860000</c:v>
                </c:pt>
                <c:pt idx="23">
                  <c:v>490000</c:v>
                </c:pt>
                <c:pt idx="24">
                  <c:v>389821</c:v>
                </c:pt>
                <c:pt idx="25">
                  <c:v>361249</c:v>
                </c:pt>
                <c:pt idx="26">
                  <c:v>352525</c:v>
                </c:pt>
                <c:pt idx="27">
                  <c:v>261529</c:v>
                </c:pt>
                <c:pt idx="28">
                  <c:v>380000</c:v>
                </c:pt>
                <c:pt idx="29">
                  <c:v>265573</c:v>
                </c:pt>
              </c:numCache>
            </c:numRef>
          </c:val>
        </c:ser>
        <c:marker val="1"/>
        <c:axId val="56785152"/>
        <c:axId val="56795136"/>
      </c:lineChart>
      <c:catAx>
        <c:axId val="5678515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795136"/>
        <c:crosses val="autoZero"/>
        <c:auto val="1"/>
        <c:lblAlgn val="ctr"/>
        <c:lblOffset val="100"/>
        <c:tickLblSkip val="5"/>
      </c:catAx>
      <c:valAx>
        <c:axId val="5679513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lang="es-ES" b="1">
                    <a:latin typeface="Helvetica"/>
                    <a:cs typeface="Helvetica"/>
                  </a:defRPr>
                </a:pPr>
                <a:r>
                  <a:rPr lang="es-ES" b="1" baseline="0">
                    <a:latin typeface="Helvetica"/>
                    <a:cs typeface="Helvetica"/>
                  </a:rPr>
                  <a:t>m2</a:t>
                </a:r>
              </a:p>
            </c:rich>
          </c:tx>
          <c:layout/>
        </c:title>
        <c:numFmt formatCode="#,##0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 sz="800" b="1" baseline="0">
                <a:latin typeface="Helvetica"/>
                <a:cs typeface="Helvetica"/>
              </a:defRPr>
            </a:pPr>
            <a:endParaRPr lang="es-ES"/>
          </a:p>
        </c:txPr>
        <c:crossAx val="56785152"/>
        <c:crosses val="autoZero"/>
        <c:crossBetween val="between"/>
        <c:dispUnits>
          <c:builtInUnit val="thousands"/>
          <c:dispUnitsLbl>
            <c:layout/>
          </c:dispUnitsLbl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106604426889641"/>
          <c:y val="6.4563176719444323E-2"/>
          <c:w val="0.27414923994921286"/>
          <c:h val="0.16045713631845104"/>
        </c:manualLayout>
      </c:layout>
      <c:spPr>
        <a:noFill/>
      </c:spPr>
      <c:txPr>
        <a:bodyPr/>
        <a:lstStyle/>
        <a:p>
          <a:pPr>
            <a:defRPr lang="es-ES" sz="1200" b="1" baseline="0">
              <a:solidFill>
                <a:srgbClr val="2B4E61"/>
              </a:solidFill>
              <a:latin typeface="Helvetica"/>
              <a:cs typeface="Helvetica"/>
            </a:defRPr>
          </a:pPr>
          <a:endParaRPr lang="es-ES"/>
        </a:p>
      </c:txPr>
    </c:legend>
    <c:plotVisOnly val="1"/>
    <c:dispBlanksAs val="gap"/>
  </c:chart>
  <c:spPr>
    <a:noFill/>
    <a:ln>
      <a:noFill/>
    </a:ln>
  </c:spPr>
  <c:printSettings>
    <c:headerFooter/>
    <c:pageMargins b="0.75000000000000211" l="0.70000000000000162" r="0.700000000000001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ES"/>
            </a:pPr>
            <a:r>
              <a:rPr lang="es-ES" sz="1400">
                <a:ln>
                  <a:noFill/>
                </a:ln>
                <a:solidFill>
                  <a:srgbClr val="2B4E61"/>
                </a:solidFill>
                <a:latin typeface="Helvetica"/>
                <a:cs typeface="Helvetica"/>
              </a:rPr>
              <a:t>RENTABILIDAD</a:t>
            </a:r>
            <a:endParaRPr lang="es-ES" sz="1400" baseline="0">
              <a:ln>
                <a:noFill/>
              </a:ln>
              <a:solidFill>
                <a:srgbClr val="2B4E61"/>
              </a:solidFill>
              <a:latin typeface="Helvetica"/>
              <a:cs typeface="Helvetica"/>
            </a:endParaRPr>
          </a:p>
        </c:rich>
      </c:tx>
      <c:layout>
        <c:manualLayout>
          <c:xMode val="edge"/>
          <c:yMode val="edge"/>
          <c:x val="0.72654051458487934"/>
          <c:y val="3.3138531094017903E-2"/>
        </c:manualLayout>
      </c:layout>
      <c:overlay val="1"/>
      <c:spPr>
        <a:noFill/>
        <a:ln>
          <a:noFill/>
        </a:ln>
      </c:spPr>
    </c:title>
    <c:plotArea>
      <c:layout>
        <c:manualLayout>
          <c:layoutTarget val="inner"/>
          <c:xMode val="edge"/>
          <c:yMode val="edge"/>
          <c:x val="0.11612692772868036"/>
          <c:y val="5.3809575432130101E-2"/>
          <c:w val="0.85565107420846198"/>
          <c:h val="0.79016286380968959"/>
        </c:manualLayout>
      </c:layout>
      <c:lineChart>
        <c:grouping val="standard"/>
        <c:ser>
          <c:idx val="0"/>
          <c:order val="0"/>
          <c:tx>
            <c:strRef>
              <c:f>Oficinas!$J$4</c:f>
              <c:strCache>
                <c:ptCount val="1"/>
                <c:pt idx="0">
                  <c:v>Barcelona</c:v>
                </c:pt>
              </c:strCache>
            </c:strRef>
          </c:tx>
          <c:spPr>
            <a:ln w="76200" cap="rnd" cmpd="sng" algn="ctr">
              <a:solidFill>
                <a:srgbClr val="2B4E6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Oficinas!$B$5:$B$35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Oficinas!$J$5:$J$35</c:f>
              <c:numCache>
                <c:formatCode>0.00</c:formatCode>
                <c:ptCount val="31"/>
                <c:pt idx="0">
                  <c:v>9</c:v>
                </c:pt>
                <c:pt idx="1">
                  <c:v>8</c:v>
                </c:pt>
                <c:pt idx="2">
                  <c:v>7.75</c:v>
                </c:pt>
                <c:pt idx="3">
                  <c:v>7.25</c:v>
                </c:pt>
                <c:pt idx="4">
                  <c:v>6.75</c:v>
                </c:pt>
                <c:pt idx="5">
                  <c:v>6.25</c:v>
                </c:pt>
                <c:pt idx="8">
                  <c:v>8.5</c:v>
                </c:pt>
                <c:pt idx="9">
                  <c:v>7.5</c:v>
                </c:pt>
                <c:pt idx="10">
                  <c:v>7.5</c:v>
                </c:pt>
                <c:pt idx="11">
                  <c:v>7.25</c:v>
                </c:pt>
                <c:pt idx="12">
                  <c:v>7</c:v>
                </c:pt>
                <c:pt idx="13">
                  <c:v>6</c:v>
                </c:pt>
                <c:pt idx="14">
                  <c:v>5.5</c:v>
                </c:pt>
                <c:pt idx="15">
                  <c:v>5.5</c:v>
                </c:pt>
                <c:pt idx="16">
                  <c:v>5.75</c:v>
                </c:pt>
                <c:pt idx="17">
                  <c:v>5.75</c:v>
                </c:pt>
                <c:pt idx="18">
                  <c:v>5.75</c:v>
                </c:pt>
                <c:pt idx="19">
                  <c:v>5.5</c:v>
                </c:pt>
                <c:pt idx="20">
                  <c:v>4.75</c:v>
                </c:pt>
                <c:pt idx="21">
                  <c:v>4.5</c:v>
                </c:pt>
                <c:pt idx="22">
                  <c:v>4.75</c:v>
                </c:pt>
                <c:pt idx="23">
                  <c:v>6.25</c:v>
                </c:pt>
                <c:pt idx="24">
                  <c:v>6.25</c:v>
                </c:pt>
                <c:pt idx="25">
                  <c:v>6.5</c:v>
                </c:pt>
                <c:pt idx="26">
                  <c:v>6.5</c:v>
                </c:pt>
                <c:pt idx="27">
                  <c:v>6.75</c:v>
                </c:pt>
                <c:pt idx="28">
                  <c:v>6</c:v>
                </c:pt>
                <c:pt idx="29">
                  <c:v>5.25</c:v>
                </c:pt>
              </c:numCache>
            </c:numRef>
          </c:val>
        </c:ser>
        <c:ser>
          <c:idx val="1"/>
          <c:order val="1"/>
          <c:tx>
            <c:strRef>
              <c:f>Oficinas!$K$4</c:f>
              <c:strCache>
                <c:ptCount val="1"/>
                <c:pt idx="0">
                  <c:v>Madrid</c:v>
                </c:pt>
              </c:strCache>
            </c:strRef>
          </c:tx>
          <c:spPr>
            <a:ln w="76200" cap="rnd" cmpd="sng" algn="ctr">
              <a:solidFill>
                <a:srgbClr val="FE67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Oficinas!$B$5:$B$35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Oficinas!$K$5:$K$35</c:f>
              <c:numCache>
                <c:formatCode>0.00</c:formatCode>
                <c:ptCount val="31"/>
                <c:pt idx="0">
                  <c:v>8.5</c:v>
                </c:pt>
                <c:pt idx="1">
                  <c:v>7.5</c:v>
                </c:pt>
                <c:pt idx="2">
                  <c:v>6.75</c:v>
                </c:pt>
                <c:pt idx="3">
                  <c:v>5.75</c:v>
                </c:pt>
                <c:pt idx="4">
                  <c:v>5.25</c:v>
                </c:pt>
                <c:pt idx="5">
                  <c:v>5.25</c:v>
                </c:pt>
                <c:pt idx="6">
                  <c:v>5.75</c:v>
                </c:pt>
                <c:pt idx="7">
                  <c:v>6.75</c:v>
                </c:pt>
                <c:pt idx="8">
                  <c:v>7</c:v>
                </c:pt>
                <c:pt idx="9">
                  <c:v>7</c:v>
                </c:pt>
                <c:pt idx="10">
                  <c:v>6.5</c:v>
                </c:pt>
                <c:pt idx="11">
                  <c:v>5.75</c:v>
                </c:pt>
                <c:pt idx="12">
                  <c:v>5.5</c:v>
                </c:pt>
                <c:pt idx="13">
                  <c:v>5.25</c:v>
                </c:pt>
                <c:pt idx="14">
                  <c:v>5</c:v>
                </c:pt>
                <c:pt idx="15">
                  <c:v>5.25</c:v>
                </c:pt>
                <c:pt idx="16">
                  <c:v>6.5</c:v>
                </c:pt>
                <c:pt idx="17">
                  <c:v>6</c:v>
                </c:pt>
                <c:pt idx="18">
                  <c:v>5.75</c:v>
                </c:pt>
                <c:pt idx="19">
                  <c:v>5</c:v>
                </c:pt>
                <c:pt idx="20">
                  <c:v>4.5</c:v>
                </c:pt>
                <c:pt idx="21">
                  <c:v>4.25</c:v>
                </c:pt>
                <c:pt idx="22">
                  <c:v>4</c:v>
                </c:pt>
                <c:pt idx="23">
                  <c:v>5.9</c:v>
                </c:pt>
                <c:pt idx="24">
                  <c:v>5.8</c:v>
                </c:pt>
                <c:pt idx="25">
                  <c:v>5.75</c:v>
                </c:pt>
                <c:pt idx="26">
                  <c:v>6</c:v>
                </c:pt>
                <c:pt idx="27">
                  <c:v>6.25</c:v>
                </c:pt>
                <c:pt idx="28">
                  <c:v>6.25</c:v>
                </c:pt>
                <c:pt idx="29">
                  <c:v>4.75</c:v>
                </c:pt>
              </c:numCache>
            </c:numRef>
          </c:val>
        </c:ser>
        <c:marker val="1"/>
        <c:axId val="56755712"/>
        <c:axId val="56757248"/>
      </c:lineChart>
      <c:catAx>
        <c:axId val="567557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757248"/>
        <c:crosses val="autoZero"/>
        <c:auto val="1"/>
        <c:lblAlgn val="ctr"/>
        <c:lblOffset val="100"/>
        <c:tickLblSkip val="5"/>
      </c:catAx>
      <c:valAx>
        <c:axId val="56757248"/>
        <c:scaling>
          <c:orientation val="minMax"/>
          <c:min val="2.5"/>
        </c:scaling>
        <c:axPos val="l"/>
        <c:title>
          <c:tx>
            <c:rich>
              <a:bodyPr rot="-5400000" vert="horz"/>
              <a:lstStyle/>
              <a:p>
                <a:pPr>
                  <a:defRPr lang="es-ES" b="1">
                    <a:latin typeface="Helvetica"/>
                    <a:cs typeface="Helvetica"/>
                  </a:defRPr>
                </a:pPr>
                <a:r>
                  <a:rPr lang="es-ES" b="1">
                    <a:latin typeface="Helvetica"/>
                    <a:cs typeface="Helvetica"/>
                  </a:rPr>
                  <a:t>%</a:t>
                </a:r>
                <a:endParaRPr lang="es-ES" b="1" baseline="0">
                  <a:latin typeface="Helvetica"/>
                  <a:cs typeface="Helvetica"/>
                </a:endParaRPr>
              </a:p>
            </c:rich>
          </c:tx>
          <c:layout/>
        </c:title>
        <c:numFmt formatCode="0.00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 sz="800" b="1" baseline="0">
                <a:latin typeface="Helvetica"/>
                <a:cs typeface="Helvetica"/>
              </a:defRPr>
            </a:pPr>
            <a:endParaRPr lang="es-ES"/>
          </a:p>
        </c:txPr>
        <c:crossAx val="567557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318330811254456"/>
          <c:y val="0.64589675418236392"/>
          <c:w val="0.27414923994921286"/>
          <c:h val="0.16045713631845104"/>
        </c:manualLayout>
      </c:layout>
      <c:spPr>
        <a:noFill/>
      </c:spPr>
      <c:txPr>
        <a:bodyPr/>
        <a:lstStyle/>
        <a:p>
          <a:pPr>
            <a:defRPr lang="es-ES" sz="1200" b="1" baseline="0">
              <a:solidFill>
                <a:srgbClr val="2B4E61"/>
              </a:solidFill>
              <a:latin typeface="Helvetica"/>
              <a:cs typeface="Helvetica"/>
            </a:defRPr>
          </a:pPr>
          <a:endParaRPr lang="es-ES"/>
        </a:p>
      </c:txPr>
    </c:legend>
    <c:plotVisOnly val="1"/>
    <c:dispBlanksAs val="gap"/>
  </c:chart>
  <c:spPr>
    <a:noFill/>
    <a:ln>
      <a:noFill/>
    </a:ln>
  </c:spPr>
  <c:printSettings>
    <c:headerFooter/>
    <c:pageMargins b="0.75000000000000211" l="0.70000000000000162" r="0.700000000000001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Areas!$B$6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Areas!$C$6:$L$6</c:f>
              <c:numCache>
                <c:formatCode>#,##0</c:formatCode>
                <c:ptCount val="10"/>
                <c:pt idx="0">
                  <c:v>13025</c:v>
                </c:pt>
                <c:pt idx="1">
                  <c:v>39320</c:v>
                </c:pt>
                <c:pt idx="2">
                  <c:v>11340</c:v>
                </c:pt>
                <c:pt idx="3">
                  <c:v>121035</c:v>
                </c:pt>
                <c:pt idx="4">
                  <c:v>146736</c:v>
                </c:pt>
                <c:pt idx="5">
                  <c:v>17665</c:v>
                </c:pt>
                <c:pt idx="6">
                  <c:v>15452</c:v>
                </c:pt>
                <c:pt idx="7">
                  <c:v>200</c:v>
                </c:pt>
              </c:numCache>
            </c:numRef>
          </c:val>
        </c:ser>
        <c:ser>
          <c:idx val="1"/>
          <c:order val="1"/>
          <c:tx>
            <c:strRef>
              <c:f>Areas!$B$7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Areas!$C$7:$L$7</c:f>
              <c:numCache>
                <c:formatCode>#,##0</c:formatCode>
                <c:ptCount val="10"/>
                <c:pt idx="0">
                  <c:v>72970</c:v>
                </c:pt>
                <c:pt idx="1">
                  <c:v>65627</c:v>
                </c:pt>
                <c:pt idx="2">
                  <c:v>70160</c:v>
                </c:pt>
                <c:pt idx="3">
                  <c:v>76950</c:v>
                </c:pt>
                <c:pt idx="4">
                  <c:v>56955</c:v>
                </c:pt>
                <c:pt idx="5">
                  <c:v>52615</c:v>
                </c:pt>
                <c:pt idx="6">
                  <c:v>62634</c:v>
                </c:pt>
                <c:pt idx="7">
                  <c:v>56190</c:v>
                </c:pt>
              </c:numCache>
            </c:numRef>
          </c:val>
        </c:ser>
        <c:ser>
          <c:idx val="2"/>
          <c:order val="2"/>
          <c:tx>
            <c:strRef>
              <c:f>Areas!$B$8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Areas!$C$8:$L$8</c:f>
              <c:numCache>
                <c:formatCode>#,##0</c:formatCode>
                <c:ptCount val="10"/>
                <c:pt idx="0">
                  <c:v>56209</c:v>
                </c:pt>
                <c:pt idx="1">
                  <c:v>63110</c:v>
                </c:pt>
                <c:pt idx="2">
                  <c:v>107010</c:v>
                </c:pt>
                <c:pt idx="3">
                  <c:v>12515</c:v>
                </c:pt>
                <c:pt idx="4">
                  <c:v>22480</c:v>
                </c:pt>
                <c:pt idx="5">
                  <c:v>15245</c:v>
                </c:pt>
                <c:pt idx="6">
                  <c:v>37272</c:v>
                </c:pt>
                <c:pt idx="7">
                  <c:v>10110</c:v>
                </c:pt>
              </c:numCache>
            </c:numRef>
          </c:val>
        </c:ser>
        <c:ser>
          <c:idx val="3"/>
          <c:order val="3"/>
          <c:tx>
            <c:strRef>
              <c:f>Areas!$B$9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Areas!$C$9:$L$9</c:f>
              <c:numCache>
                <c:formatCode>#,##0</c:formatCode>
                <c:ptCount val="10"/>
                <c:pt idx="0">
                  <c:v>9285</c:v>
                </c:pt>
                <c:pt idx="1">
                  <c:v>14900</c:v>
                </c:pt>
                <c:pt idx="2">
                  <c:v>46855</c:v>
                </c:pt>
                <c:pt idx="3">
                  <c:v>12450</c:v>
                </c:pt>
                <c:pt idx="4">
                  <c:v>8915</c:v>
                </c:pt>
                <c:pt idx="5">
                  <c:v>25285</c:v>
                </c:pt>
                <c:pt idx="6">
                  <c:v>20565</c:v>
                </c:pt>
                <c:pt idx="7">
                  <c:v>5971</c:v>
                </c:pt>
              </c:numCache>
            </c:numRef>
          </c:val>
        </c:ser>
        <c:ser>
          <c:idx val="4"/>
          <c:order val="4"/>
          <c:tx>
            <c:strRef>
              <c:f>Areas!$B$10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Areas!$C$10:$L$10</c:f>
              <c:numCache>
                <c:formatCode>#,##0</c:formatCode>
                <c:ptCount val="10"/>
                <c:pt idx="0">
                  <c:v>60265</c:v>
                </c:pt>
                <c:pt idx="1">
                  <c:v>50360</c:v>
                </c:pt>
                <c:pt idx="2">
                  <c:v>27250</c:v>
                </c:pt>
                <c:pt idx="3">
                  <c:v>33635</c:v>
                </c:pt>
                <c:pt idx="4">
                  <c:v>7760</c:v>
                </c:pt>
                <c:pt idx="5">
                  <c:v>45855</c:v>
                </c:pt>
                <c:pt idx="6">
                  <c:v>37775</c:v>
                </c:pt>
                <c:pt idx="7">
                  <c:v>2615</c:v>
                </c:pt>
              </c:numCache>
            </c:numRef>
          </c:val>
        </c:ser>
        <c:ser>
          <c:idx val="5"/>
          <c:order val="5"/>
          <c:tx>
            <c:strRef>
              <c:f>Areas!$B$11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Areas!$C$11:$L$11</c:f>
              <c:numCache>
                <c:formatCode>#,##0</c:formatCode>
                <c:ptCount val="10"/>
                <c:pt idx="0">
                  <c:v>46950</c:v>
                </c:pt>
                <c:pt idx="1">
                  <c:v>18880</c:v>
                </c:pt>
                <c:pt idx="2">
                  <c:v>29170</c:v>
                </c:pt>
                <c:pt idx="3">
                  <c:v>20470</c:v>
                </c:pt>
                <c:pt idx="4">
                  <c:v>13495</c:v>
                </c:pt>
                <c:pt idx="5">
                  <c:v>56794</c:v>
                </c:pt>
                <c:pt idx="6">
                  <c:v>51705</c:v>
                </c:pt>
                <c:pt idx="7">
                  <c:v>19275</c:v>
                </c:pt>
              </c:numCache>
            </c:numRef>
          </c:val>
        </c:ser>
        <c:ser>
          <c:idx val="6"/>
          <c:order val="6"/>
          <c:tx>
            <c:strRef>
              <c:f>Areas!$B$12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Areas!$C$12:$L$12</c:f>
              <c:numCache>
                <c:formatCode>#,##0</c:formatCode>
                <c:ptCount val="10"/>
                <c:pt idx="0">
                  <c:v>58820</c:v>
                </c:pt>
                <c:pt idx="1">
                  <c:v>120280</c:v>
                </c:pt>
                <c:pt idx="2">
                  <c:v>155150</c:v>
                </c:pt>
                <c:pt idx="3">
                  <c:v>128945</c:v>
                </c:pt>
                <c:pt idx="4">
                  <c:v>69685</c:v>
                </c:pt>
                <c:pt idx="5">
                  <c:v>92750</c:v>
                </c:pt>
                <c:pt idx="6">
                  <c:v>91261</c:v>
                </c:pt>
                <c:pt idx="7">
                  <c:v>94980</c:v>
                </c:pt>
              </c:numCache>
            </c:numRef>
          </c:val>
        </c:ser>
        <c:gapWidth val="35"/>
        <c:overlap val="100"/>
        <c:axId val="150667648"/>
        <c:axId val="150669184"/>
      </c:barChart>
      <c:catAx>
        <c:axId val="1506676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50669184"/>
        <c:crosses val="autoZero"/>
        <c:auto val="1"/>
        <c:lblAlgn val="ctr"/>
        <c:lblOffset val="100"/>
      </c:catAx>
      <c:valAx>
        <c:axId val="150669184"/>
        <c:scaling>
          <c:orientation val="minMax"/>
        </c:scaling>
        <c:axPos val="l"/>
        <c:majorGridlines/>
        <c:numFmt formatCode="#,##0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50667648"/>
        <c:crosses val="autoZero"/>
        <c:crossBetween val="between"/>
      </c:valAx>
      <c:spPr>
        <a:noFill/>
      </c:spPr>
    </c:plotArea>
    <c:legend>
      <c:legendPos val="r"/>
      <c:layout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189" l="0.70000000000000162" r="0.70000000000000162" t="0.75000000000000189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Areas!$B$32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Areas!$C$32:$L$32</c:f>
              <c:numCache>
                <c:formatCode>#,##0</c:formatCode>
                <c:ptCount val="10"/>
                <c:pt idx="0">
                  <c:v>7290</c:v>
                </c:pt>
                <c:pt idx="1">
                  <c:v>7685</c:v>
                </c:pt>
                <c:pt idx="2">
                  <c:v>0</c:v>
                </c:pt>
                <c:pt idx="3">
                  <c:v>4390</c:v>
                </c:pt>
                <c:pt idx="4">
                  <c:v>4120</c:v>
                </c:pt>
                <c:pt idx="5">
                  <c:v>14045</c:v>
                </c:pt>
              </c:numCache>
            </c:numRef>
          </c:val>
        </c:ser>
        <c:ser>
          <c:idx val="1"/>
          <c:order val="1"/>
          <c:tx>
            <c:strRef>
              <c:f>Areas!$B$33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Areas!$C$33:$L$33</c:f>
              <c:numCache>
                <c:formatCode>#,##0</c:formatCode>
                <c:ptCount val="10"/>
                <c:pt idx="0">
                  <c:v>17900</c:v>
                </c:pt>
                <c:pt idx="1">
                  <c:v>20240</c:v>
                </c:pt>
                <c:pt idx="2">
                  <c:v>17655</c:v>
                </c:pt>
                <c:pt idx="3">
                  <c:v>36700</c:v>
                </c:pt>
                <c:pt idx="4">
                  <c:v>21520</c:v>
                </c:pt>
                <c:pt idx="5">
                  <c:v>23277</c:v>
                </c:pt>
                <c:pt idx="6">
                  <c:v>22425</c:v>
                </c:pt>
                <c:pt idx="7">
                  <c:v>46115</c:v>
                </c:pt>
              </c:numCache>
            </c:numRef>
          </c:val>
        </c:ser>
        <c:ser>
          <c:idx val="2"/>
          <c:order val="2"/>
          <c:tx>
            <c:strRef>
              <c:f>Areas!$B$34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Areas!$C$34:$L$34</c:f>
              <c:numCache>
                <c:formatCode>#,##0</c:formatCode>
                <c:ptCount val="10"/>
                <c:pt idx="0">
                  <c:v>25410</c:v>
                </c:pt>
                <c:pt idx="1">
                  <c:v>10985</c:v>
                </c:pt>
                <c:pt idx="2">
                  <c:v>8915</c:v>
                </c:pt>
                <c:pt idx="3">
                  <c:v>26180</c:v>
                </c:pt>
                <c:pt idx="4">
                  <c:v>13860</c:v>
                </c:pt>
                <c:pt idx="5">
                  <c:v>23230</c:v>
                </c:pt>
                <c:pt idx="6">
                  <c:v>59315</c:v>
                </c:pt>
                <c:pt idx="7">
                  <c:v>30980</c:v>
                </c:pt>
              </c:numCache>
            </c:numRef>
          </c:val>
        </c:ser>
        <c:ser>
          <c:idx val="3"/>
          <c:order val="3"/>
          <c:tx>
            <c:strRef>
              <c:f>Areas!$B$35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Areas!$C$35:$L$35</c:f>
              <c:numCache>
                <c:formatCode>#,##0</c:formatCode>
                <c:ptCount val="10"/>
                <c:pt idx="0">
                  <c:v>1230</c:v>
                </c:pt>
                <c:pt idx="1">
                  <c:v>1095</c:v>
                </c:pt>
                <c:pt idx="2">
                  <c:v>1845</c:v>
                </c:pt>
                <c:pt idx="3">
                  <c:v>2655</c:v>
                </c:pt>
                <c:pt idx="4">
                  <c:v>7320</c:v>
                </c:pt>
                <c:pt idx="5">
                  <c:v>15225</c:v>
                </c:pt>
                <c:pt idx="6">
                  <c:v>4240</c:v>
                </c:pt>
                <c:pt idx="7">
                  <c:v>4855</c:v>
                </c:pt>
              </c:numCache>
            </c:numRef>
          </c:val>
        </c:ser>
        <c:ser>
          <c:idx val="4"/>
          <c:order val="4"/>
          <c:tx>
            <c:strRef>
              <c:f>Areas!$B$36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Areas!$C$36:$L$36</c:f>
              <c:numCache>
                <c:formatCode>#,##0</c:formatCode>
                <c:ptCount val="10"/>
                <c:pt idx="0">
                  <c:v>31910</c:v>
                </c:pt>
                <c:pt idx="1">
                  <c:v>46850</c:v>
                </c:pt>
                <c:pt idx="2">
                  <c:v>5205</c:v>
                </c:pt>
                <c:pt idx="3">
                  <c:v>8130</c:v>
                </c:pt>
                <c:pt idx="4">
                  <c:v>6255</c:v>
                </c:pt>
                <c:pt idx="7">
                  <c:v>890</c:v>
                </c:pt>
              </c:numCache>
            </c:numRef>
          </c:val>
        </c:ser>
        <c:ser>
          <c:idx val="5"/>
          <c:order val="5"/>
          <c:tx>
            <c:strRef>
              <c:f>Areas!$B$37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Areas!$C$37:$L$37</c:f>
              <c:numCache>
                <c:formatCode>#,##0</c:formatCode>
                <c:ptCount val="10"/>
                <c:pt idx="0">
                  <c:v>10833</c:v>
                </c:pt>
                <c:pt idx="1">
                  <c:v>6935</c:v>
                </c:pt>
                <c:pt idx="2">
                  <c:v>3550</c:v>
                </c:pt>
                <c:pt idx="3">
                  <c:v>6900</c:v>
                </c:pt>
                <c:pt idx="4">
                  <c:v>21875</c:v>
                </c:pt>
                <c:pt idx="5">
                  <c:v>6580</c:v>
                </c:pt>
                <c:pt idx="6">
                  <c:v>4705</c:v>
                </c:pt>
                <c:pt idx="7">
                  <c:v>2880</c:v>
                </c:pt>
              </c:numCache>
            </c:numRef>
          </c:val>
        </c:ser>
        <c:ser>
          <c:idx val="6"/>
          <c:order val="6"/>
          <c:tx>
            <c:strRef>
              <c:f>Areas!$B$38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Areas!$C$5:$L$5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Areas!$C$38:$L$38</c:f>
              <c:numCache>
                <c:formatCode>#,##0</c:formatCode>
                <c:ptCount val="10"/>
                <c:pt idx="0">
                  <c:v>36925</c:v>
                </c:pt>
                <c:pt idx="1">
                  <c:v>37530</c:v>
                </c:pt>
                <c:pt idx="2">
                  <c:v>22460</c:v>
                </c:pt>
                <c:pt idx="3">
                  <c:v>57990</c:v>
                </c:pt>
                <c:pt idx="4">
                  <c:v>57070</c:v>
                </c:pt>
                <c:pt idx="5">
                  <c:v>38490</c:v>
                </c:pt>
                <c:pt idx="6">
                  <c:v>41990</c:v>
                </c:pt>
                <c:pt idx="7">
                  <c:v>37755</c:v>
                </c:pt>
              </c:numCache>
            </c:numRef>
          </c:val>
        </c:ser>
        <c:gapWidth val="35"/>
        <c:overlap val="100"/>
        <c:axId val="150734720"/>
        <c:axId val="150736256"/>
      </c:barChart>
      <c:catAx>
        <c:axId val="15073472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50736256"/>
        <c:crosses val="autoZero"/>
        <c:auto val="1"/>
        <c:lblAlgn val="ctr"/>
        <c:lblOffset val="100"/>
      </c:catAx>
      <c:valAx>
        <c:axId val="150736256"/>
        <c:scaling>
          <c:orientation val="minMax"/>
        </c:scaling>
        <c:axPos val="l"/>
        <c:majorGridlines/>
        <c:numFmt formatCode="#,##0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50734720"/>
        <c:crosses val="autoZero"/>
        <c:crossBetween val="between"/>
      </c:valAx>
      <c:spPr>
        <a:noFill/>
      </c:spPr>
    </c:plotArea>
    <c:legend>
      <c:legendPos val="r"/>
      <c:layout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211" l="0.70000000000000162" r="0.70000000000000162" t="0.75000000000000211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Areas!$B$18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Areas!$C$18:$L$18</c:f>
              <c:numCache>
                <c:formatCode>General</c:formatCode>
                <c:ptCount val="10"/>
                <c:pt idx="0">
                  <c:v>20</c:v>
                </c:pt>
                <c:pt idx="1">
                  <c:v>10</c:v>
                </c:pt>
                <c:pt idx="2">
                  <c:v>13</c:v>
                </c:pt>
                <c:pt idx="3">
                  <c:v>169</c:v>
                </c:pt>
                <c:pt idx="4">
                  <c:v>87</c:v>
                </c:pt>
                <c:pt idx="5">
                  <c:v>23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Areas!$B$19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Areas!$C$19:$L$19</c:f>
              <c:numCache>
                <c:formatCode>General</c:formatCode>
                <c:ptCount val="10"/>
                <c:pt idx="0">
                  <c:v>85</c:v>
                </c:pt>
                <c:pt idx="1">
                  <c:v>106</c:v>
                </c:pt>
                <c:pt idx="2">
                  <c:v>90</c:v>
                </c:pt>
                <c:pt idx="3">
                  <c:v>58</c:v>
                </c:pt>
                <c:pt idx="4">
                  <c:v>60</c:v>
                </c:pt>
                <c:pt idx="5">
                  <c:v>97</c:v>
                </c:pt>
                <c:pt idx="6">
                  <c:v>79</c:v>
                </c:pt>
                <c:pt idx="7">
                  <c:v>71</c:v>
                </c:pt>
              </c:numCache>
            </c:numRef>
          </c:val>
        </c:ser>
        <c:ser>
          <c:idx val="2"/>
          <c:order val="2"/>
          <c:tx>
            <c:strRef>
              <c:f>Areas!$B$20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Areas!$C$20:$L$20</c:f>
              <c:numCache>
                <c:formatCode>General</c:formatCode>
                <c:ptCount val="10"/>
                <c:pt idx="0">
                  <c:v>78</c:v>
                </c:pt>
                <c:pt idx="1">
                  <c:v>64</c:v>
                </c:pt>
                <c:pt idx="2">
                  <c:v>105</c:v>
                </c:pt>
                <c:pt idx="3">
                  <c:v>28</c:v>
                </c:pt>
                <c:pt idx="4">
                  <c:v>29</c:v>
                </c:pt>
                <c:pt idx="5">
                  <c:v>39</c:v>
                </c:pt>
                <c:pt idx="6">
                  <c:v>46</c:v>
                </c:pt>
                <c:pt idx="7">
                  <c:v>20</c:v>
                </c:pt>
              </c:numCache>
            </c:numRef>
          </c:val>
        </c:ser>
        <c:ser>
          <c:idx val="3"/>
          <c:order val="3"/>
          <c:tx>
            <c:strRef>
              <c:f>Areas!$B$21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Areas!$C$21:$L$21</c:f>
              <c:numCache>
                <c:formatCode>General</c:formatCode>
                <c:ptCount val="1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  <c:pt idx="7">
                  <c:v>12</c:v>
                </c:pt>
              </c:numCache>
            </c:numRef>
          </c:val>
        </c:ser>
        <c:ser>
          <c:idx val="4"/>
          <c:order val="4"/>
          <c:tx>
            <c:strRef>
              <c:f>Areas!$B$22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Areas!$C$22:$L$22</c:f>
              <c:numCache>
                <c:formatCode>General</c:formatCode>
                <c:ptCount val="10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11</c:v>
                </c:pt>
                <c:pt idx="4">
                  <c:v>13</c:v>
                </c:pt>
                <c:pt idx="5">
                  <c:v>19</c:v>
                </c:pt>
                <c:pt idx="6">
                  <c:v>16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Areas!$B$23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Areas!$C$23:$L$23</c:f>
              <c:numCache>
                <c:formatCode>General</c:formatCode>
                <c:ptCount val="10"/>
                <c:pt idx="0">
                  <c:v>33</c:v>
                </c:pt>
                <c:pt idx="1">
                  <c:v>14</c:v>
                </c:pt>
                <c:pt idx="2">
                  <c:v>22</c:v>
                </c:pt>
                <c:pt idx="3">
                  <c:v>13</c:v>
                </c:pt>
                <c:pt idx="4">
                  <c:v>16</c:v>
                </c:pt>
                <c:pt idx="5">
                  <c:v>32</c:v>
                </c:pt>
                <c:pt idx="6">
                  <c:v>43</c:v>
                </c:pt>
                <c:pt idx="7">
                  <c:v>15</c:v>
                </c:pt>
              </c:numCache>
            </c:numRef>
          </c:val>
        </c:ser>
        <c:ser>
          <c:idx val="6"/>
          <c:order val="6"/>
          <c:tx>
            <c:strRef>
              <c:f>Areas!$B$24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Areas!$C$24:$L$24</c:f>
              <c:numCache>
                <c:formatCode>General</c:formatCode>
                <c:ptCount val="10"/>
                <c:pt idx="0">
                  <c:v>43</c:v>
                </c:pt>
                <c:pt idx="1">
                  <c:v>54</c:v>
                </c:pt>
                <c:pt idx="2">
                  <c:v>60</c:v>
                </c:pt>
                <c:pt idx="3">
                  <c:v>48</c:v>
                </c:pt>
                <c:pt idx="4">
                  <c:v>39</c:v>
                </c:pt>
                <c:pt idx="5">
                  <c:v>60</c:v>
                </c:pt>
                <c:pt idx="6">
                  <c:v>80</c:v>
                </c:pt>
                <c:pt idx="7">
                  <c:v>65</c:v>
                </c:pt>
              </c:numCache>
            </c:numRef>
          </c:val>
        </c:ser>
        <c:gapWidth val="35"/>
        <c:overlap val="100"/>
        <c:axId val="56582912"/>
        <c:axId val="56584448"/>
      </c:barChart>
      <c:catAx>
        <c:axId val="5658291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584448"/>
        <c:crosses val="autoZero"/>
        <c:auto val="1"/>
        <c:lblAlgn val="ctr"/>
        <c:lblOffset val="100"/>
      </c:catAx>
      <c:valAx>
        <c:axId val="5658444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582912"/>
        <c:crosses val="autoZero"/>
        <c:crossBetween val="between"/>
      </c:valAx>
      <c:spPr>
        <a:noFill/>
      </c:spPr>
    </c:plotArea>
    <c:legend>
      <c:legendPos val="r"/>
      <c:layout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255" l="0.70000000000000162" r="0.70000000000000162" t="0.75000000000000255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Areas!$B$44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Areas!$C$44:$L$44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Areas!$B$45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Areas!$C$45:$L$45</c:f>
              <c:numCache>
                <c:formatCode>General</c:formatCode>
                <c:ptCount val="10"/>
                <c:pt idx="0">
                  <c:v>20</c:v>
                </c:pt>
                <c:pt idx="1">
                  <c:v>34</c:v>
                </c:pt>
                <c:pt idx="2">
                  <c:v>17</c:v>
                </c:pt>
                <c:pt idx="3">
                  <c:v>40</c:v>
                </c:pt>
                <c:pt idx="4">
                  <c:v>49</c:v>
                </c:pt>
                <c:pt idx="5">
                  <c:v>45</c:v>
                </c:pt>
                <c:pt idx="6">
                  <c:v>43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Areas!$B$46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Areas!$C$46:$L$46</c:f>
              <c:numCache>
                <c:formatCode>General</c:formatCode>
                <c:ptCount val="10"/>
                <c:pt idx="0">
                  <c:v>41</c:v>
                </c:pt>
                <c:pt idx="1">
                  <c:v>22</c:v>
                </c:pt>
                <c:pt idx="2">
                  <c:v>19</c:v>
                </c:pt>
                <c:pt idx="3">
                  <c:v>37</c:v>
                </c:pt>
                <c:pt idx="4">
                  <c:v>24</c:v>
                </c:pt>
                <c:pt idx="5">
                  <c:v>32</c:v>
                </c:pt>
                <c:pt idx="6">
                  <c:v>43</c:v>
                </c:pt>
                <c:pt idx="7">
                  <c:v>34</c:v>
                </c:pt>
              </c:numCache>
            </c:numRef>
          </c:val>
        </c:ser>
        <c:ser>
          <c:idx val="3"/>
          <c:order val="3"/>
          <c:tx>
            <c:strRef>
              <c:f>Areas!$B$47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Areas!$C$47:$L$47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10</c:v>
                </c:pt>
              </c:numCache>
            </c:numRef>
          </c:val>
        </c:ser>
        <c:ser>
          <c:idx val="4"/>
          <c:order val="4"/>
          <c:tx>
            <c:strRef>
              <c:f>Areas!$B$48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Areas!$C$48:$L$48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Areas!$B$49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Areas!$C$49:$L$49</c:f>
              <c:numCache>
                <c:formatCode>General</c:formatCode>
                <c:ptCount val="10"/>
                <c:pt idx="0">
                  <c:v>27</c:v>
                </c:pt>
                <c:pt idx="1">
                  <c:v>20</c:v>
                </c:pt>
                <c:pt idx="2">
                  <c:v>11</c:v>
                </c:pt>
                <c:pt idx="3">
                  <c:v>22</c:v>
                </c:pt>
                <c:pt idx="4">
                  <c:v>15</c:v>
                </c:pt>
                <c:pt idx="5">
                  <c:v>17</c:v>
                </c:pt>
                <c:pt idx="6">
                  <c:v>15</c:v>
                </c:pt>
                <c:pt idx="7">
                  <c:v>11</c:v>
                </c:pt>
              </c:numCache>
            </c:numRef>
          </c:val>
        </c:ser>
        <c:ser>
          <c:idx val="6"/>
          <c:order val="6"/>
          <c:tx>
            <c:strRef>
              <c:f>Areas!$B$50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Areas!$C$17:$L$17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Areas!$C$50:$L$50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15</c:v>
                </c:pt>
                <c:pt idx="3">
                  <c:v>39</c:v>
                </c:pt>
                <c:pt idx="4">
                  <c:v>39</c:v>
                </c:pt>
                <c:pt idx="5">
                  <c:v>25</c:v>
                </c:pt>
                <c:pt idx="6">
                  <c:v>46</c:v>
                </c:pt>
                <c:pt idx="7">
                  <c:v>38</c:v>
                </c:pt>
              </c:numCache>
            </c:numRef>
          </c:val>
        </c:ser>
        <c:gapWidth val="35"/>
        <c:overlap val="100"/>
        <c:axId val="56912128"/>
        <c:axId val="56922112"/>
      </c:barChart>
      <c:catAx>
        <c:axId val="5691212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922112"/>
        <c:crosses val="autoZero"/>
        <c:auto val="1"/>
        <c:lblAlgn val="ctr"/>
        <c:lblOffset val="100"/>
      </c:catAx>
      <c:valAx>
        <c:axId val="56922112"/>
        <c:scaling>
          <c:orientation val="minMax"/>
          <c:max val="180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56912128"/>
        <c:crosses val="autoZero"/>
        <c:crossBetween val="between"/>
      </c:valAx>
      <c:spPr>
        <a:noFill/>
      </c:spPr>
    </c:plotArea>
    <c:legend>
      <c:legendPos val="r"/>
      <c:layout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278" l="0.70000000000000162" r="0.700000000000001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0</xdr:row>
      <xdr:rowOff>47626</xdr:rowOff>
    </xdr:from>
    <xdr:to>
      <xdr:col>18</xdr:col>
      <xdr:colOff>368300</xdr:colOff>
      <xdr:row>13</xdr:row>
      <xdr:rowOff>152400</xdr:rowOff>
    </xdr:to>
    <xdr:graphicFrame macro="">
      <xdr:nvGraphicFramePr>
        <xdr:cNvPr id="2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14</xdr:row>
      <xdr:rowOff>9525</xdr:rowOff>
    </xdr:from>
    <xdr:to>
      <xdr:col>18</xdr:col>
      <xdr:colOff>425450</xdr:colOff>
      <xdr:row>28</xdr:row>
      <xdr:rowOff>123824</xdr:rowOff>
    </xdr:to>
    <xdr:graphicFrame macro="">
      <xdr:nvGraphicFramePr>
        <xdr:cNvPr id="3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142875</xdr:colOff>
      <xdr:row>29</xdr:row>
      <xdr:rowOff>152400</xdr:rowOff>
    </xdr:from>
    <xdr:to>
      <xdr:col>18</xdr:col>
      <xdr:colOff>444500</xdr:colOff>
      <xdr:row>44</xdr:row>
      <xdr:rowOff>104774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110216</xdr:colOff>
      <xdr:row>5</xdr:row>
      <xdr:rowOff>89352</xdr:rowOff>
    </xdr:from>
    <xdr:to>
      <xdr:col>24</xdr:col>
      <xdr:colOff>98430</xdr:colOff>
      <xdr:row>23</xdr:row>
      <xdr:rowOff>178709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304800</xdr:colOff>
      <xdr:row>31</xdr:row>
      <xdr:rowOff>99333</xdr:rowOff>
    </xdr:from>
    <xdr:to>
      <xdr:col>24</xdr:col>
      <xdr:colOff>293014</xdr:colOff>
      <xdr:row>49</xdr:row>
      <xdr:rowOff>188690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696684</xdr:colOff>
      <xdr:row>5</xdr:row>
      <xdr:rowOff>48531</xdr:rowOff>
    </xdr:from>
    <xdr:to>
      <xdr:col>34</xdr:col>
      <xdr:colOff>684898</xdr:colOff>
      <xdr:row>23</xdr:row>
      <xdr:rowOff>137888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78921</xdr:colOff>
      <xdr:row>31</xdr:row>
      <xdr:rowOff>93890</xdr:rowOff>
    </xdr:from>
    <xdr:to>
      <xdr:col>35</xdr:col>
      <xdr:colOff>67135</xdr:colOff>
      <xdr:row>49</xdr:row>
      <xdr:rowOff>183247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/>
  <dimension ref="B2:K35"/>
  <sheetViews>
    <sheetView zoomScaleNormal="100" workbookViewId="0">
      <selection activeCell="V31" sqref="V31"/>
    </sheetView>
  </sheetViews>
  <sheetFormatPr baseColWidth="10" defaultRowHeight="12.75"/>
  <cols>
    <col min="1" max="1" width="4.28515625" style="11" customWidth="1"/>
    <col min="2" max="2" width="10.140625" style="11" bestFit="1" customWidth="1"/>
    <col min="3" max="3" width="5" style="21" customWidth="1"/>
    <col min="4" max="5" width="12.85546875" style="18" customWidth="1"/>
    <col min="6" max="6" width="5" style="11" customWidth="1"/>
    <col min="7" max="8" width="12.85546875" style="11" customWidth="1"/>
    <col min="9" max="9" width="5" style="11" customWidth="1"/>
    <col min="10" max="11" width="12.85546875" style="11" customWidth="1"/>
    <col min="12" max="12" width="11.42578125" style="11" customWidth="1"/>
    <col min="13" max="16384" width="11.42578125" style="11"/>
  </cols>
  <sheetData>
    <row r="2" spans="2:11" ht="15.75">
      <c r="B2" s="9" t="s">
        <v>8</v>
      </c>
      <c r="C2" s="10"/>
      <c r="D2" s="25" t="s">
        <v>18</v>
      </c>
      <c r="E2" s="25"/>
      <c r="G2" s="25" t="s">
        <v>4</v>
      </c>
      <c r="H2" s="25"/>
      <c r="J2" s="25" t="s">
        <v>7</v>
      </c>
      <c r="K2" s="25"/>
    </row>
    <row r="3" spans="2:11" ht="15.75">
      <c r="C3" s="10"/>
      <c r="D3" s="26" t="s">
        <v>5</v>
      </c>
      <c r="E3" s="26"/>
      <c r="G3" s="27" t="s">
        <v>17</v>
      </c>
      <c r="H3" s="28"/>
      <c r="J3" s="28" t="s">
        <v>1</v>
      </c>
      <c r="K3" s="28"/>
    </row>
    <row r="4" spans="2:11">
      <c r="B4" s="12" t="s">
        <v>0</v>
      </c>
      <c r="C4" s="13"/>
      <c r="D4" s="14" t="s">
        <v>2</v>
      </c>
      <c r="E4" s="14" t="s">
        <v>3</v>
      </c>
      <c r="F4" s="15"/>
      <c r="G4" s="14" t="s">
        <v>2</v>
      </c>
      <c r="H4" s="14" t="s">
        <v>3</v>
      </c>
      <c r="I4" s="15"/>
      <c r="J4" s="14" t="s">
        <v>2</v>
      </c>
      <c r="K4" s="14" t="s">
        <v>3</v>
      </c>
    </row>
    <row r="5" spans="2:11">
      <c r="B5" s="16">
        <v>1985</v>
      </c>
      <c r="C5" s="17"/>
      <c r="D5" s="18">
        <v>7.8</v>
      </c>
      <c r="E5" s="18">
        <v>9.6</v>
      </c>
      <c r="G5" s="19">
        <v>50000</v>
      </c>
      <c r="H5" s="19">
        <v>220000</v>
      </c>
      <c r="J5" s="20">
        <v>9</v>
      </c>
      <c r="K5" s="20">
        <v>8.5</v>
      </c>
    </row>
    <row r="6" spans="2:11">
      <c r="B6" s="16">
        <v>1986</v>
      </c>
      <c r="C6" s="17"/>
      <c r="D6" s="18">
        <v>9</v>
      </c>
      <c r="E6" s="18">
        <v>13.25</v>
      </c>
      <c r="G6" s="19">
        <v>60000</v>
      </c>
      <c r="H6" s="19">
        <v>170000</v>
      </c>
      <c r="J6" s="20">
        <v>8</v>
      </c>
      <c r="K6" s="20">
        <v>7.5</v>
      </c>
    </row>
    <row r="7" spans="2:11">
      <c r="B7" s="16">
        <v>1987</v>
      </c>
      <c r="C7" s="17"/>
      <c r="D7" s="18">
        <v>10.8</v>
      </c>
      <c r="E7" s="18">
        <v>15</v>
      </c>
      <c r="G7" s="19">
        <v>70000</v>
      </c>
      <c r="H7" s="19">
        <v>150000</v>
      </c>
      <c r="J7" s="20">
        <v>7.75</v>
      </c>
      <c r="K7" s="20">
        <v>6.75</v>
      </c>
    </row>
    <row r="8" spans="2:11">
      <c r="B8" s="16">
        <v>1988</v>
      </c>
      <c r="C8" s="17"/>
      <c r="D8" s="18">
        <v>15</v>
      </c>
      <c r="E8" s="18">
        <v>20</v>
      </c>
      <c r="G8" s="19">
        <v>70000</v>
      </c>
      <c r="H8" s="19">
        <v>200000</v>
      </c>
      <c r="J8" s="20">
        <v>7.25</v>
      </c>
      <c r="K8" s="20">
        <v>5.75</v>
      </c>
    </row>
    <row r="9" spans="2:11">
      <c r="B9" s="16">
        <v>1989</v>
      </c>
      <c r="C9" s="17"/>
      <c r="D9" s="18">
        <v>19.25</v>
      </c>
      <c r="E9" s="18">
        <v>25.5</v>
      </c>
      <c r="G9" s="19">
        <v>95000</v>
      </c>
      <c r="H9" s="19">
        <v>175000</v>
      </c>
      <c r="J9" s="20">
        <v>6.75</v>
      </c>
      <c r="K9" s="20">
        <v>5.25</v>
      </c>
    </row>
    <row r="10" spans="2:11">
      <c r="B10" s="16">
        <v>1990</v>
      </c>
      <c r="C10" s="17"/>
      <c r="D10" s="18">
        <v>22.5</v>
      </c>
      <c r="E10" s="18">
        <v>31.55</v>
      </c>
      <c r="G10" s="19">
        <v>260000</v>
      </c>
      <c r="H10" s="19">
        <v>160000</v>
      </c>
      <c r="J10" s="20">
        <v>6.25</v>
      </c>
      <c r="K10" s="20">
        <v>5.25</v>
      </c>
    </row>
    <row r="11" spans="2:11">
      <c r="B11" s="16">
        <v>1991</v>
      </c>
      <c r="C11" s="17"/>
      <c r="D11" s="18">
        <v>25.85</v>
      </c>
      <c r="E11" s="18">
        <v>33</v>
      </c>
      <c r="G11" s="19">
        <v>325000</v>
      </c>
      <c r="H11" s="19">
        <v>147800</v>
      </c>
      <c r="J11" s="20"/>
      <c r="K11" s="20">
        <v>5.75</v>
      </c>
    </row>
    <row r="12" spans="2:11">
      <c r="B12" s="16">
        <v>1992</v>
      </c>
      <c r="C12" s="17"/>
      <c r="D12" s="18">
        <v>29.45</v>
      </c>
      <c r="E12" s="18">
        <v>20.239999999999998</v>
      </c>
      <c r="G12" s="19">
        <v>550000</v>
      </c>
      <c r="H12" s="19">
        <v>180000</v>
      </c>
      <c r="J12" s="20"/>
      <c r="K12" s="20">
        <v>6.75</v>
      </c>
    </row>
    <row r="13" spans="2:11">
      <c r="B13" s="16">
        <v>1993</v>
      </c>
      <c r="C13" s="17"/>
      <c r="D13" s="18">
        <v>21.35</v>
      </c>
      <c r="E13" s="18">
        <v>16.25</v>
      </c>
      <c r="G13" s="19">
        <v>140000</v>
      </c>
      <c r="H13" s="19">
        <v>240000</v>
      </c>
      <c r="J13" s="20">
        <v>8.5</v>
      </c>
      <c r="K13" s="20">
        <v>7</v>
      </c>
    </row>
    <row r="14" spans="2:11">
      <c r="B14" s="16">
        <v>1994</v>
      </c>
      <c r="C14" s="17"/>
      <c r="D14" s="18">
        <v>15.75</v>
      </c>
      <c r="E14" s="18">
        <v>15</v>
      </c>
      <c r="G14" s="19">
        <v>225000</v>
      </c>
      <c r="H14" s="19">
        <v>290000</v>
      </c>
      <c r="J14" s="20">
        <v>7.5</v>
      </c>
      <c r="K14" s="20">
        <v>7</v>
      </c>
    </row>
    <row r="15" spans="2:11">
      <c r="B15" s="16">
        <v>1995</v>
      </c>
      <c r="C15" s="17"/>
      <c r="D15" s="18">
        <v>13.25</v>
      </c>
      <c r="E15" s="18">
        <v>15</v>
      </c>
      <c r="G15" s="19">
        <v>170000</v>
      </c>
      <c r="H15" s="19">
        <v>317000</v>
      </c>
      <c r="J15" s="20">
        <v>7.5</v>
      </c>
      <c r="K15" s="20">
        <v>6.5</v>
      </c>
    </row>
    <row r="16" spans="2:11">
      <c r="B16" s="16">
        <v>1996</v>
      </c>
      <c r="C16" s="17"/>
      <c r="D16" s="18">
        <v>11.5</v>
      </c>
      <c r="E16" s="18">
        <v>16.25</v>
      </c>
      <c r="G16" s="19">
        <v>180000</v>
      </c>
      <c r="H16" s="19">
        <v>347000</v>
      </c>
      <c r="J16" s="20">
        <v>7.25</v>
      </c>
      <c r="K16" s="20">
        <v>5.75</v>
      </c>
    </row>
    <row r="17" spans="2:11">
      <c r="B17" s="16">
        <v>1997</v>
      </c>
      <c r="C17" s="17"/>
      <c r="D17" s="18">
        <v>13.85</v>
      </c>
      <c r="E17" s="18">
        <v>17.45</v>
      </c>
      <c r="G17" s="19">
        <v>175000</v>
      </c>
      <c r="H17" s="19">
        <v>410000</v>
      </c>
      <c r="J17" s="20">
        <v>7</v>
      </c>
      <c r="K17" s="20">
        <v>5.5</v>
      </c>
    </row>
    <row r="18" spans="2:11">
      <c r="B18" s="16">
        <v>1998</v>
      </c>
      <c r="C18" s="17"/>
      <c r="D18" s="18">
        <v>14.5</v>
      </c>
      <c r="E18" s="18">
        <v>19.850000000000001</v>
      </c>
      <c r="G18" s="19">
        <v>251800</v>
      </c>
      <c r="H18" s="19">
        <v>677000</v>
      </c>
      <c r="J18" s="20">
        <v>6</v>
      </c>
      <c r="K18" s="20">
        <v>5.25</v>
      </c>
    </row>
    <row r="19" spans="2:11">
      <c r="B19" s="16">
        <v>1999</v>
      </c>
      <c r="C19" s="17"/>
      <c r="D19" s="18">
        <v>20.25</v>
      </c>
      <c r="E19" s="18">
        <v>27</v>
      </c>
      <c r="G19" s="19">
        <v>345300</v>
      </c>
      <c r="H19" s="19">
        <v>595400</v>
      </c>
      <c r="J19" s="20">
        <v>5.5</v>
      </c>
      <c r="K19" s="20">
        <v>5</v>
      </c>
    </row>
    <row r="20" spans="2:11">
      <c r="B20" s="16">
        <v>2000</v>
      </c>
      <c r="C20" s="17"/>
      <c r="D20" s="18">
        <v>24</v>
      </c>
      <c r="E20" s="18">
        <v>36</v>
      </c>
      <c r="G20" s="19">
        <v>310000</v>
      </c>
      <c r="H20" s="19">
        <v>795000</v>
      </c>
      <c r="J20" s="20">
        <v>5.5</v>
      </c>
      <c r="K20" s="20">
        <v>5.25</v>
      </c>
    </row>
    <row r="21" spans="2:11">
      <c r="B21" s="16">
        <v>2001</v>
      </c>
      <c r="C21" s="17"/>
      <c r="D21" s="18">
        <v>27</v>
      </c>
      <c r="E21" s="18">
        <v>34.5</v>
      </c>
      <c r="G21" s="19">
        <v>300100</v>
      </c>
      <c r="H21" s="19">
        <v>460000</v>
      </c>
      <c r="J21" s="20">
        <v>5.75</v>
      </c>
      <c r="K21" s="20">
        <v>6.5</v>
      </c>
    </row>
    <row r="22" spans="2:11">
      <c r="B22" s="16">
        <v>2002</v>
      </c>
      <c r="C22" s="17"/>
      <c r="D22" s="18">
        <v>25</v>
      </c>
      <c r="E22" s="18">
        <v>30.85</v>
      </c>
      <c r="G22" s="19">
        <v>281000</v>
      </c>
      <c r="H22" s="19">
        <v>509000</v>
      </c>
      <c r="J22" s="20">
        <v>5.75</v>
      </c>
      <c r="K22" s="20">
        <v>6</v>
      </c>
    </row>
    <row r="23" spans="2:11">
      <c r="B23" s="16">
        <v>2003</v>
      </c>
      <c r="C23" s="17"/>
      <c r="D23" s="18">
        <v>22.85</v>
      </c>
      <c r="E23" s="18">
        <v>26.7</v>
      </c>
      <c r="G23" s="19">
        <v>239000</v>
      </c>
      <c r="H23" s="19">
        <v>610000</v>
      </c>
      <c r="J23" s="20">
        <v>5.75</v>
      </c>
      <c r="K23" s="20">
        <v>5.75</v>
      </c>
    </row>
    <row r="24" spans="2:11">
      <c r="B24" s="16">
        <v>2004</v>
      </c>
      <c r="C24" s="17"/>
      <c r="D24" s="18">
        <v>24</v>
      </c>
      <c r="E24" s="18">
        <v>25.5</v>
      </c>
      <c r="G24" s="19">
        <v>320000</v>
      </c>
      <c r="H24" s="19">
        <v>625000</v>
      </c>
      <c r="J24" s="20">
        <v>5.5</v>
      </c>
      <c r="K24" s="20">
        <v>5</v>
      </c>
    </row>
    <row r="25" spans="2:11">
      <c r="B25" s="16">
        <v>2005</v>
      </c>
      <c r="C25" s="17"/>
      <c r="D25" s="18">
        <v>24</v>
      </c>
      <c r="E25" s="18">
        <v>27.25</v>
      </c>
      <c r="G25" s="19">
        <v>407000</v>
      </c>
      <c r="H25" s="19">
        <v>695000</v>
      </c>
      <c r="J25" s="20">
        <v>4.75</v>
      </c>
      <c r="K25" s="20">
        <v>4.5</v>
      </c>
    </row>
    <row r="26" spans="2:11">
      <c r="B26" s="16">
        <v>2006</v>
      </c>
      <c r="C26" s="17"/>
      <c r="D26" s="18">
        <v>25</v>
      </c>
      <c r="E26" s="18">
        <v>38</v>
      </c>
      <c r="G26" s="19">
        <v>386000</v>
      </c>
      <c r="H26" s="19">
        <v>800000</v>
      </c>
      <c r="J26" s="20">
        <v>4.5</v>
      </c>
      <c r="K26" s="20">
        <v>4.25</v>
      </c>
    </row>
    <row r="27" spans="2:11">
      <c r="B27" s="16">
        <v>2007</v>
      </c>
      <c r="C27" s="17"/>
      <c r="D27" s="18">
        <v>27.5</v>
      </c>
      <c r="E27" s="18">
        <v>40</v>
      </c>
      <c r="G27" s="19">
        <v>370000</v>
      </c>
      <c r="H27" s="19">
        <v>860000</v>
      </c>
      <c r="J27" s="20">
        <v>4.75</v>
      </c>
      <c r="K27" s="20">
        <v>4</v>
      </c>
    </row>
    <row r="28" spans="2:11">
      <c r="B28" s="16">
        <v>2008</v>
      </c>
      <c r="C28" s="17"/>
      <c r="D28" s="18">
        <v>25</v>
      </c>
      <c r="E28" s="18">
        <v>32</v>
      </c>
      <c r="G28" s="19">
        <v>314000</v>
      </c>
      <c r="H28" s="19">
        <v>490000</v>
      </c>
      <c r="J28" s="20">
        <v>6.25</v>
      </c>
      <c r="K28" s="20">
        <v>5.9</v>
      </c>
    </row>
    <row r="29" spans="2:11">
      <c r="B29" s="16">
        <v>2009</v>
      </c>
      <c r="C29" s="17"/>
      <c r="D29" s="18">
        <v>22</v>
      </c>
      <c r="E29" s="18">
        <v>28.5</v>
      </c>
      <c r="G29" s="19">
        <v>181706</v>
      </c>
      <c r="H29" s="19">
        <v>389821</v>
      </c>
      <c r="J29" s="20">
        <v>6.25</v>
      </c>
      <c r="K29" s="20">
        <v>5.8</v>
      </c>
    </row>
    <row r="30" spans="2:11">
      <c r="B30" s="16">
        <v>2010</v>
      </c>
      <c r="C30" s="17"/>
      <c r="D30" s="18">
        <v>20</v>
      </c>
      <c r="E30" s="18">
        <v>26.75</v>
      </c>
      <c r="G30" s="19">
        <v>174512</v>
      </c>
      <c r="H30" s="19">
        <v>361249</v>
      </c>
      <c r="J30" s="20">
        <v>6.5</v>
      </c>
      <c r="K30" s="20">
        <v>5.75</v>
      </c>
    </row>
    <row r="31" spans="2:11">
      <c r="B31" s="16">
        <v>2011</v>
      </c>
      <c r="C31" s="17"/>
      <c r="D31" s="18">
        <v>19</v>
      </c>
      <c r="E31" s="18">
        <v>25.75</v>
      </c>
      <c r="G31" s="19">
        <v>171140</v>
      </c>
      <c r="H31" s="19">
        <v>352525</v>
      </c>
      <c r="J31" s="20">
        <v>6.5</v>
      </c>
      <c r="K31" s="20">
        <v>6</v>
      </c>
    </row>
    <row r="32" spans="2:11">
      <c r="B32" s="16">
        <v>2012</v>
      </c>
      <c r="C32" s="17"/>
      <c r="D32" s="18">
        <v>18</v>
      </c>
      <c r="E32" s="18">
        <v>25</v>
      </c>
      <c r="G32" s="19">
        <v>162435</v>
      </c>
      <c r="H32" s="19">
        <v>261529</v>
      </c>
      <c r="J32" s="20">
        <v>6.75</v>
      </c>
      <c r="K32" s="20">
        <v>6.25</v>
      </c>
    </row>
    <row r="33" spans="2:11">
      <c r="B33" s="16">
        <v>2013</v>
      </c>
      <c r="C33" s="17"/>
      <c r="D33" s="18">
        <v>17.75</v>
      </c>
      <c r="E33" s="18">
        <v>24.25</v>
      </c>
      <c r="G33" s="19">
        <v>170528</v>
      </c>
      <c r="H33" s="19">
        <v>380000</v>
      </c>
      <c r="J33" s="20">
        <v>6</v>
      </c>
      <c r="K33" s="20">
        <v>6.25</v>
      </c>
    </row>
    <row r="34" spans="2:11">
      <c r="B34" s="16">
        <v>2014</v>
      </c>
      <c r="C34" s="17"/>
      <c r="D34" s="18">
        <v>17.75</v>
      </c>
      <c r="E34" s="18">
        <v>28</v>
      </c>
      <c r="G34" s="19">
        <v>185235</v>
      </c>
      <c r="H34" s="19">
        <v>265573</v>
      </c>
      <c r="J34" s="20">
        <v>5.25</v>
      </c>
      <c r="K34" s="20">
        <v>4.75</v>
      </c>
    </row>
    <row r="35" spans="2:11">
      <c r="B35" s="16">
        <v>2015</v>
      </c>
      <c r="C35" s="17"/>
      <c r="G35" s="19"/>
      <c r="H35" s="19"/>
      <c r="J35" s="20"/>
      <c r="K35" s="20"/>
    </row>
  </sheetData>
  <mergeCells count="6">
    <mergeCell ref="D2:E2"/>
    <mergeCell ref="D3:E3"/>
    <mergeCell ref="G2:H2"/>
    <mergeCell ref="J2:K2"/>
    <mergeCell ref="G3:H3"/>
    <mergeCell ref="J3:K3"/>
  </mergeCells>
  <pageMargins left="0.75" right="0.75" top="1" bottom="1" header="0" footer="0"/>
  <pageSetup paperSize="0" orientation="portrait" horizontalDpi="4294967292" verticalDpi="4294967292"/>
  <headerFooter alignWithMargins="0"/>
  <drawing r:id="rId1"/>
  <webPublishItems count="1">
    <webPublishItem id="7393" divId="graficas_7393" sourceType="sheet" destinationFile="D:\PropertyWeb\Web\activa\graficas\exportar excel\grafica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>
  <sheetPr published="0"/>
  <dimension ref="B2:V77"/>
  <sheetViews>
    <sheetView tabSelected="1" topLeftCell="A10" zoomScale="85" zoomScaleNormal="85" workbookViewId="0">
      <selection activeCell="N46" sqref="N46"/>
    </sheetView>
  </sheetViews>
  <sheetFormatPr baseColWidth="10" defaultColWidth="10.85546875" defaultRowHeight="15"/>
  <cols>
    <col min="1" max="1" width="7.28515625" style="2" customWidth="1"/>
    <col min="2" max="2" width="10.85546875" style="2"/>
    <col min="3" max="12" width="9.140625" style="2" customWidth="1"/>
    <col min="13" max="14" width="7.7109375" style="2" customWidth="1"/>
    <col min="15" max="16384" width="10.85546875" style="2"/>
  </cols>
  <sheetData>
    <row r="2" spans="2:22" ht="21">
      <c r="B2" s="29" t="s">
        <v>19</v>
      </c>
      <c r="H2" s="1"/>
    </row>
    <row r="4" spans="2:22" ht="21">
      <c r="B4" s="29" t="s">
        <v>3</v>
      </c>
    </row>
    <row r="5" spans="2:22">
      <c r="B5" s="3" t="s">
        <v>6</v>
      </c>
      <c r="C5" s="4">
        <v>2005</v>
      </c>
      <c r="D5" s="4">
        <v>2006</v>
      </c>
      <c r="E5" s="4">
        <v>2007</v>
      </c>
      <c r="F5" s="4">
        <v>2008</v>
      </c>
      <c r="G5" s="4">
        <v>2009</v>
      </c>
      <c r="H5" s="4">
        <v>2010</v>
      </c>
      <c r="I5" s="4">
        <v>2011</v>
      </c>
      <c r="J5" s="4">
        <v>2012</v>
      </c>
      <c r="K5" s="4">
        <v>2013</v>
      </c>
      <c r="L5" s="4">
        <v>2014</v>
      </c>
      <c r="V5" s="8"/>
    </row>
    <row r="6" spans="2:22">
      <c r="B6" s="5" t="s">
        <v>15</v>
      </c>
      <c r="C6" s="7">
        <v>13025</v>
      </c>
      <c r="D6" s="7">
        <v>39320</v>
      </c>
      <c r="E6" s="7">
        <v>11340</v>
      </c>
      <c r="F6" s="7">
        <v>121035</v>
      </c>
      <c r="G6" s="7">
        <v>146736</v>
      </c>
      <c r="H6" s="7">
        <v>17665</v>
      </c>
      <c r="I6" s="7">
        <v>15452</v>
      </c>
      <c r="J6" s="7">
        <v>200</v>
      </c>
      <c r="K6" s="7"/>
      <c r="L6" s="7"/>
    </row>
    <row r="7" spans="2:22">
      <c r="B7" s="5" t="s">
        <v>14</v>
      </c>
      <c r="C7" s="7">
        <v>72970</v>
      </c>
      <c r="D7" s="7">
        <v>65627</v>
      </c>
      <c r="E7" s="7">
        <v>70160</v>
      </c>
      <c r="F7" s="7">
        <v>76950</v>
      </c>
      <c r="G7" s="7">
        <v>56955</v>
      </c>
      <c r="H7" s="7">
        <v>52615</v>
      </c>
      <c r="I7" s="7">
        <v>62634</v>
      </c>
      <c r="J7" s="7">
        <v>56190</v>
      </c>
      <c r="K7" s="7"/>
      <c r="L7" s="7"/>
    </row>
    <row r="8" spans="2:22">
      <c r="B8" s="5" t="s">
        <v>13</v>
      </c>
      <c r="C8" s="7">
        <v>56209</v>
      </c>
      <c r="D8" s="7">
        <v>63110</v>
      </c>
      <c r="E8" s="7">
        <v>107010</v>
      </c>
      <c r="F8" s="7">
        <v>12515</v>
      </c>
      <c r="G8" s="7">
        <v>22480</v>
      </c>
      <c r="H8" s="7">
        <v>15245</v>
      </c>
      <c r="I8" s="7">
        <v>37272</v>
      </c>
      <c r="J8" s="7">
        <v>10110</v>
      </c>
      <c r="K8" s="7"/>
      <c r="L8" s="7"/>
    </row>
    <row r="9" spans="2:22">
      <c r="B9" s="5" t="s">
        <v>12</v>
      </c>
      <c r="C9" s="7">
        <v>9285</v>
      </c>
      <c r="D9" s="7">
        <v>14900</v>
      </c>
      <c r="E9" s="7">
        <v>46855</v>
      </c>
      <c r="F9" s="7">
        <v>12450</v>
      </c>
      <c r="G9" s="7">
        <v>8915</v>
      </c>
      <c r="H9" s="7">
        <v>25285</v>
      </c>
      <c r="I9" s="7">
        <v>20565</v>
      </c>
      <c r="J9" s="7">
        <v>5971</v>
      </c>
      <c r="K9" s="7"/>
      <c r="L9" s="7"/>
    </row>
    <row r="10" spans="2:22">
      <c r="B10" s="5" t="s">
        <v>11</v>
      </c>
      <c r="C10" s="7">
        <v>60265</v>
      </c>
      <c r="D10" s="7">
        <v>50360</v>
      </c>
      <c r="E10" s="7">
        <v>27250</v>
      </c>
      <c r="F10" s="7">
        <v>33635</v>
      </c>
      <c r="G10" s="7">
        <v>7760</v>
      </c>
      <c r="H10" s="7">
        <v>45855</v>
      </c>
      <c r="I10" s="7">
        <v>37775</v>
      </c>
      <c r="J10" s="7">
        <v>2615</v>
      </c>
      <c r="K10" s="7"/>
      <c r="L10" s="7"/>
    </row>
    <row r="11" spans="2:22">
      <c r="B11" s="5" t="s">
        <v>10</v>
      </c>
      <c r="C11" s="7">
        <v>46950</v>
      </c>
      <c r="D11" s="7">
        <v>18880</v>
      </c>
      <c r="E11" s="7">
        <v>29170</v>
      </c>
      <c r="F11" s="7">
        <v>20470</v>
      </c>
      <c r="G11" s="7">
        <v>13495</v>
      </c>
      <c r="H11" s="7">
        <v>56794</v>
      </c>
      <c r="I11" s="7">
        <v>51705</v>
      </c>
      <c r="J11" s="7">
        <v>19275</v>
      </c>
      <c r="K11" s="7"/>
      <c r="L11" s="7"/>
    </row>
    <row r="12" spans="2:22">
      <c r="B12" s="3" t="s">
        <v>9</v>
      </c>
      <c r="C12" s="24">
        <v>58820</v>
      </c>
      <c r="D12" s="24">
        <v>120280</v>
      </c>
      <c r="E12" s="24">
        <v>155150</v>
      </c>
      <c r="F12" s="24">
        <v>128945</v>
      </c>
      <c r="G12" s="24">
        <v>69685</v>
      </c>
      <c r="H12" s="24">
        <v>92750</v>
      </c>
      <c r="I12" s="24">
        <v>91261</v>
      </c>
      <c r="J12" s="24">
        <v>94980</v>
      </c>
      <c r="K12" s="24"/>
      <c r="L12" s="24"/>
    </row>
    <row r="13" spans="2:22">
      <c r="C13" s="7">
        <f t="shared" ref="C13:L13" si="0">SUM(C6:C12)</f>
        <v>317524</v>
      </c>
      <c r="D13" s="7">
        <f t="shared" si="0"/>
        <v>372477</v>
      </c>
      <c r="E13" s="7">
        <f t="shared" si="0"/>
        <v>446935</v>
      </c>
      <c r="F13" s="7">
        <f t="shared" si="0"/>
        <v>406000</v>
      </c>
      <c r="G13" s="7">
        <f t="shared" si="0"/>
        <v>326026</v>
      </c>
      <c r="H13" s="7">
        <f t="shared" si="0"/>
        <v>306209</v>
      </c>
      <c r="I13" s="7">
        <f t="shared" si="0"/>
        <v>316664</v>
      </c>
      <c r="J13" s="7">
        <f t="shared" si="0"/>
        <v>189341</v>
      </c>
      <c r="K13" s="7">
        <f t="shared" si="0"/>
        <v>0</v>
      </c>
      <c r="L13" s="7">
        <f t="shared" si="0"/>
        <v>0</v>
      </c>
    </row>
    <row r="14" spans="2:22">
      <c r="B14" s="6"/>
    </row>
    <row r="15" spans="2:22">
      <c r="B15" s="6"/>
    </row>
    <row r="16" spans="2:22" ht="21">
      <c r="B16" s="29" t="s">
        <v>3</v>
      </c>
    </row>
    <row r="17" spans="2:12">
      <c r="B17" s="3" t="s">
        <v>16</v>
      </c>
      <c r="C17" s="4">
        <v>2005</v>
      </c>
      <c r="D17" s="4">
        <v>2006</v>
      </c>
      <c r="E17" s="4">
        <v>2007</v>
      </c>
      <c r="F17" s="4">
        <v>2008</v>
      </c>
      <c r="G17" s="4">
        <v>2009</v>
      </c>
      <c r="H17" s="4">
        <v>2010</v>
      </c>
      <c r="I17" s="4">
        <v>2011</v>
      </c>
      <c r="J17" s="4">
        <v>2012</v>
      </c>
      <c r="K17" s="4">
        <v>2013</v>
      </c>
      <c r="L17" s="4">
        <v>2014</v>
      </c>
    </row>
    <row r="18" spans="2:12">
      <c r="B18" s="5" t="s">
        <v>15</v>
      </c>
      <c r="C18" s="2">
        <v>20</v>
      </c>
      <c r="D18" s="2">
        <v>10</v>
      </c>
      <c r="E18" s="2">
        <v>13</v>
      </c>
      <c r="F18" s="2">
        <v>169</v>
      </c>
      <c r="G18" s="2">
        <v>87</v>
      </c>
      <c r="H18" s="2">
        <v>23</v>
      </c>
      <c r="I18" s="2">
        <v>3</v>
      </c>
      <c r="J18" s="2">
        <v>1</v>
      </c>
    </row>
    <row r="19" spans="2:12">
      <c r="B19" s="5" t="s">
        <v>14</v>
      </c>
      <c r="C19" s="2">
        <v>85</v>
      </c>
      <c r="D19" s="2">
        <v>106</v>
      </c>
      <c r="E19" s="2">
        <v>90</v>
      </c>
      <c r="F19" s="2">
        <v>58</v>
      </c>
      <c r="G19" s="2">
        <v>60</v>
      </c>
      <c r="H19" s="2">
        <v>97</v>
      </c>
      <c r="I19" s="2">
        <v>79</v>
      </c>
      <c r="J19" s="2">
        <v>71</v>
      </c>
    </row>
    <row r="20" spans="2:12">
      <c r="B20" s="5" t="s">
        <v>13</v>
      </c>
      <c r="C20" s="2">
        <v>78</v>
      </c>
      <c r="D20" s="2">
        <v>64</v>
      </c>
      <c r="E20" s="2">
        <v>105</v>
      </c>
      <c r="F20" s="2">
        <v>28</v>
      </c>
      <c r="G20" s="2">
        <v>29</v>
      </c>
      <c r="H20" s="2">
        <v>39</v>
      </c>
      <c r="I20" s="2">
        <v>46</v>
      </c>
      <c r="J20" s="2">
        <v>20</v>
      </c>
    </row>
    <row r="21" spans="2:12">
      <c r="B21" s="5" t="s">
        <v>12</v>
      </c>
      <c r="C21" s="2">
        <v>14</v>
      </c>
      <c r="D21" s="2">
        <v>16</v>
      </c>
      <c r="E21" s="2">
        <v>17</v>
      </c>
      <c r="F21" s="2">
        <v>19</v>
      </c>
      <c r="G21" s="2">
        <v>20</v>
      </c>
      <c r="H21" s="2">
        <v>21</v>
      </c>
      <c r="I21" s="2">
        <v>21</v>
      </c>
      <c r="J21" s="2">
        <v>12</v>
      </c>
    </row>
    <row r="22" spans="2:12">
      <c r="B22" s="5" t="s">
        <v>11</v>
      </c>
      <c r="C22" s="2">
        <v>17</v>
      </c>
      <c r="D22" s="2">
        <v>15</v>
      </c>
      <c r="E22" s="2">
        <v>17</v>
      </c>
      <c r="F22" s="2">
        <v>11</v>
      </c>
      <c r="G22" s="2">
        <v>13</v>
      </c>
      <c r="H22" s="2">
        <v>19</v>
      </c>
      <c r="I22" s="2">
        <v>16</v>
      </c>
      <c r="J22" s="2">
        <v>1</v>
      </c>
    </row>
    <row r="23" spans="2:12">
      <c r="B23" s="5" t="s">
        <v>10</v>
      </c>
      <c r="C23" s="2">
        <v>33</v>
      </c>
      <c r="D23" s="2">
        <v>14</v>
      </c>
      <c r="E23" s="2">
        <v>22</v>
      </c>
      <c r="F23" s="2">
        <v>13</v>
      </c>
      <c r="G23" s="2">
        <v>16</v>
      </c>
      <c r="H23" s="2">
        <v>32</v>
      </c>
      <c r="I23" s="2">
        <v>43</v>
      </c>
      <c r="J23" s="2">
        <v>15</v>
      </c>
    </row>
    <row r="24" spans="2:12">
      <c r="B24" s="3" t="s">
        <v>9</v>
      </c>
      <c r="C24" s="22">
        <v>43</v>
      </c>
      <c r="D24" s="22">
        <v>54</v>
      </c>
      <c r="E24" s="22">
        <v>60</v>
      </c>
      <c r="F24" s="22">
        <v>48</v>
      </c>
      <c r="G24" s="22">
        <v>39</v>
      </c>
      <c r="H24" s="22">
        <v>60</v>
      </c>
      <c r="I24" s="22">
        <v>80</v>
      </c>
      <c r="J24" s="22">
        <v>65</v>
      </c>
      <c r="K24" s="22"/>
      <c r="L24" s="22"/>
    </row>
    <row r="25" spans="2:12">
      <c r="C25" s="23">
        <f>SUM(C18:C24)</f>
        <v>290</v>
      </c>
      <c r="D25" s="23">
        <f>SUM(D18:D24)</f>
        <v>279</v>
      </c>
      <c r="E25" s="23">
        <f>SUM(E18:E24)</f>
        <v>324</v>
      </c>
      <c r="F25" s="23">
        <f>SUM(F18:F24)</f>
        <v>346</v>
      </c>
      <c r="G25" s="23">
        <f>SUM(G18:G24)</f>
        <v>264</v>
      </c>
      <c r="H25" s="23">
        <f>SUM(H18:H24)</f>
        <v>291</v>
      </c>
      <c r="I25" s="23">
        <f>SUM(I18:I24)</f>
        <v>288</v>
      </c>
      <c r="J25" s="23">
        <f>SUM(J18:J24)</f>
        <v>185</v>
      </c>
      <c r="K25" s="23">
        <f>SUM(K18:K24)</f>
        <v>0</v>
      </c>
      <c r="L25" s="23">
        <f>SUM(L18:L24)</f>
        <v>0</v>
      </c>
    </row>
    <row r="26" spans="2:12">
      <c r="B26" s="6"/>
    </row>
    <row r="27" spans="2:12">
      <c r="B27" s="6"/>
    </row>
    <row r="28" spans="2:12">
      <c r="B28" s="6"/>
    </row>
    <row r="30" spans="2:12" ht="21">
      <c r="B30" s="29" t="s">
        <v>2</v>
      </c>
    </row>
    <row r="31" spans="2:12">
      <c r="B31" s="3" t="s">
        <v>6</v>
      </c>
      <c r="C31" s="4">
        <v>2005</v>
      </c>
      <c r="D31" s="4">
        <v>2006</v>
      </c>
      <c r="E31" s="4">
        <v>2007</v>
      </c>
      <c r="F31" s="4">
        <v>2008</v>
      </c>
      <c r="G31" s="4">
        <v>2009</v>
      </c>
      <c r="H31" s="4">
        <v>2010</v>
      </c>
      <c r="I31" s="4">
        <v>2011</v>
      </c>
      <c r="J31" s="4">
        <v>2012</v>
      </c>
      <c r="K31" s="4">
        <v>2013</v>
      </c>
      <c r="L31" s="4">
        <v>2014</v>
      </c>
    </row>
    <row r="32" spans="2:12">
      <c r="B32" s="5" t="s">
        <v>15</v>
      </c>
      <c r="C32" s="7">
        <v>7290</v>
      </c>
      <c r="D32" s="7">
        <v>7685</v>
      </c>
      <c r="E32" s="7">
        <v>0</v>
      </c>
      <c r="F32" s="7">
        <v>4390</v>
      </c>
      <c r="G32" s="7">
        <v>4120</v>
      </c>
      <c r="H32" s="7">
        <v>14045</v>
      </c>
      <c r="I32" s="7"/>
      <c r="J32" s="7"/>
      <c r="K32" s="7"/>
      <c r="L32" s="7"/>
    </row>
    <row r="33" spans="2:12">
      <c r="B33" s="5" t="s">
        <v>14</v>
      </c>
      <c r="C33" s="7">
        <v>17900</v>
      </c>
      <c r="D33" s="7">
        <v>20240</v>
      </c>
      <c r="E33" s="7">
        <v>17655</v>
      </c>
      <c r="F33" s="7">
        <v>36700</v>
      </c>
      <c r="G33" s="7">
        <v>21520</v>
      </c>
      <c r="H33" s="7">
        <v>23277</v>
      </c>
      <c r="I33" s="7">
        <v>22425</v>
      </c>
      <c r="J33" s="7">
        <v>46115</v>
      </c>
      <c r="K33" s="7"/>
      <c r="L33" s="7"/>
    </row>
    <row r="34" spans="2:12">
      <c r="B34" s="5" t="s">
        <v>13</v>
      </c>
      <c r="C34" s="7">
        <v>25410</v>
      </c>
      <c r="D34" s="7">
        <v>10985</v>
      </c>
      <c r="E34" s="7">
        <v>8915</v>
      </c>
      <c r="F34" s="7">
        <v>26180</v>
      </c>
      <c r="G34" s="7">
        <v>13860</v>
      </c>
      <c r="H34" s="7">
        <v>23230</v>
      </c>
      <c r="I34" s="7">
        <v>59315</v>
      </c>
      <c r="J34" s="7">
        <v>30980</v>
      </c>
      <c r="K34" s="7"/>
      <c r="L34" s="7"/>
    </row>
    <row r="35" spans="2:12">
      <c r="B35" s="5" t="s">
        <v>12</v>
      </c>
      <c r="C35" s="7">
        <v>1230</v>
      </c>
      <c r="D35" s="7">
        <v>1095</v>
      </c>
      <c r="E35" s="7">
        <v>1845</v>
      </c>
      <c r="F35" s="7">
        <v>2655</v>
      </c>
      <c r="G35" s="7">
        <v>7320</v>
      </c>
      <c r="H35" s="7">
        <v>15225</v>
      </c>
      <c r="I35" s="7">
        <v>4240</v>
      </c>
      <c r="J35" s="7">
        <v>4855</v>
      </c>
      <c r="K35" s="7"/>
      <c r="L35" s="7"/>
    </row>
    <row r="36" spans="2:12">
      <c r="B36" s="5" t="s">
        <v>11</v>
      </c>
      <c r="C36" s="7">
        <v>31910</v>
      </c>
      <c r="D36" s="7">
        <v>46850</v>
      </c>
      <c r="E36" s="7">
        <v>5205</v>
      </c>
      <c r="F36" s="7">
        <v>8130</v>
      </c>
      <c r="G36" s="7">
        <v>6255</v>
      </c>
      <c r="H36" s="7"/>
      <c r="I36" s="7"/>
      <c r="J36" s="7">
        <v>890</v>
      </c>
      <c r="K36" s="7"/>
      <c r="L36" s="7"/>
    </row>
    <row r="37" spans="2:12">
      <c r="B37" s="5" t="s">
        <v>10</v>
      </c>
      <c r="C37" s="7">
        <v>10833</v>
      </c>
      <c r="D37" s="7">
        <v>6935</v>
      </c>
      <c r="E37" s="7">
        <v>3550</v>
      </c>
      <c r="F37" s="7">
        <v>6900</v>
      </c>
      <c r="G37" s="7">
        <v>21875</v>
      </c>
      <c r="H37" s="7">
        <v>6580</v>
      </c>
      <c r="I37" s="7">
        <v>4705</v>
      </c>
      <c r="J37" s="7">
        <v>2880</v>
      </c>
      <c r="K37" s="7"/>
      <c r="L37" s="7"/>
    </row>
    <row r="38" spans="2:12">
      <c r="B38" s="3" t="s">
        <v>9</v>
      </c>
      <c r="C38" s="24">
        <v>36925</v>
      </c>
      <c r="D38" s="24">
        <v>37530</v>
      </c>
      <c r="E38" s="24">
        <v>22460</v>
      </c>
      <c r="F38" s="24">
        <v>57990</v>
      </c>
      <c r="G38" s="24">
        <v>57070</v>
      </c>
      <c r="H38" s="24">
        <v>38490</v>
      </c>
      <c r="I38" s="24">
        <v>41990</v>
      </c>
      <c r="J38" s="24">
        <v>37755</v>
      </c>
      <c r="K38" s="24"/>
      <c r="L38" s="24"/>
    </row>
    <row r="39" spans="2:12">
      <c r="B39" s="6"/>
      <c r="C39" s="7">
        <f t="shared" ref="C39" si="1">SUM(C32:C38)</f>
        <v>131498</v>
      </c>
      <c r="D39" s="7">
        <f t="shared" ref="D39" si="2">SUM(D32:D38)</f>
        <v>131320</v>
      </c>
      <c r="E39" s="7">
        <f t="shared" ref="E39" si="3">SUM(E32:E38)</f>
        <v>59630</v>
      </c>
      <c r="F39" s="7">
        <f t="shared" ref="F39" si="4">SUM(F32:F38)</f>
        <v>142945</v>
      </c>
      <c r="G39" s="7">
        <f t="shared" ref="G39" si="5">SUM(G32:G38)</f>
        <v>132020</v>
      </c>
      <c r="H39" s="7">
        <f t="shared" ref="H39" si="6">SUM(H32:H38)</f>
        <v>120847</v>
      </c>
      <c r="I39" s="7">
        <f t="shared" ref="I39" si="7">SUM(I32:I38)</f>
        <v>132675</v>
      </c>
      <c r="J39" s="7">
        <f t="shared" ref="J39" si="8">SUM(J32:J38)</f>
        <v>123475</v>
      </c>
      <c r="K39" s="7">
        <f t="shared" ref="K39" si="9">SUM(K32:K38)</f>
        <v>0</v>
      </c>
      <c r="L39" s="7">
        <f t="shared" ref="L39" si="10">SUM(L32:L38)</f>
        <v>0</v>
      </c>
    </row>
    <row r="40" spans="2:12">
      <c r="B40" s="6"/>
    </row>
    <row r="41" spans="2:12">
      <c r="B41" s="6"/>
    </row>
    <row r="42" spans="2:12" ht="21">
      <c r="B42" s="29" t="s">
        <v>2</v>
      </c>
    </row>
    <row r="43" spans="2:12">
      <c r="B43" s="3" t="s">
        <v>16</v>
      </c>
      <c r="C43" s="4">
        <v>2005</v>
      </c>
      <c r="D43" s="4">
        <v>2006</v>
      </c>
      <c r="E43" s="4">
        <v>2007</v>
      </c>
      <c r="F43" s="4">
        <v>2008</v>
      </c>
      <c r="G43" s="4">
        <v>2009</v>
      </c>
      <c r="H43" s="4">
        <v>2010</v>
      </c>
      <c r="I43" s="4">
        <v>2011</v>
      </c>
      <c r="J43" s="4">
        <v>2012</v>
      </c>
      <c r="K43" s="4">
        <v>2013</v>
      </c>
      <c r="L43" s="4">
        <v>2014</v>
      </c>
    </row>
    <row r="44" spans="2:12">
      <c r="B44" s="5" t="s">
        <v>15</v>
      </c>
      <c r="C44" s="2">
        <v>8</v>
      </c>
      <c r="D44" s="2">
        <v>5</v>
      </c>
      <c r="E44" s="2">
        <v>1</v>
      </c>
      <c r="F44" s="2">
        <v>5</v>
      </c>
      <c r="G44" s="2">
        <v>4</v>
      </c>
      <c r="H44" s="2">
        <v>6</v>
      </c>
    </row>
    <row r="45" spans="2:12">
      <c r="B45" s="5" t="s">
        <v>14</v>
      </c>
      <c r="C45" s="2">
        <v>20</v>
      </c>
      <c r="D45" s="2">
        <v>34</v>
      </c>
      <c r="E45" s="2">
        <v>17</v>
      </c>
      <c r="F45" s="2">
        <v>40</v>
      </c>
      <c r="G45" s="2">
        <v>49</v>
      </c>
      <c r="H45" s="2">
        <v>45</v>
      </c>
      <c r="I45" s="2">
        <v>43</v>
      </c>
      <c r="J45" s="2">
        <v>45</v>
      </c>
    </row>
    <row r="46" spans="2:12">
      <c r="B46" s="5" t="s">
        <v>13</v>
      </c>
      <c r="C46" s="2">
        <v>41</v>
      </c>
      <c r="D46" s="2">
        <v>22</v>
      </c>
      <c r="E46" s="2">
        <v>19</v>
      </c>
      <c r="F46" s="2">
        <v>37</v>
      </c>
      <c r="G46" s="2">
        <v>24</v>
      </c>
      <c r="H46" s="2">
        <v>32</v>
      </c>
      <c r="I46" s="2">
        <v>43</v>
      </c>
      <c r="J46" s="2">
        <v>34</v>
      </c>
    </row>
    <row r="47" spans="2:12">
      <c r="B47" s="5" t="s">
        <v>12</v>
      </c>
      <c r="C47" s="2">
        <v>2</v>
      </c>
      <c r="D47" s="2">
        <v>7</v>
      </c>
      <c r="E47" s="2">
        <v>2</v>
      </c>
      <c r="F47" s="2">
        <v>4</v>
      </c>
      <c r="G47" s="2">
        <v>6</v>
      </c>
      <c r="H47" s="2">
        <v>9</v>
      </c>
      <c r="I47" s="2">
        <v>7</v>
      </c>
      <c r="J47" s="2">
        <v>10</v>
      </c>
    </row>
    <row r="48" spans="2:12">
      <c r="B48" s="5" t="s">
        <v>11</v>
      </c>
      <c r="C48" s="2">
        <v>8</v>
      </c>
      <c r="D48" s="2">
        <v>6</v>
      </c>
      <c r="E48" s="2">
        <v>7</v>
      </c>
      <c r="F48" s="2">
        <v>5</v>
      </c>
      <c r="G48" s="2">
        <v>2</v>
      </c>
      <c r="J48" s="2">
        <v>1</v>
      </c>
    </row>
    <row r="49" spans="2:22">
      <c r="B49" s="5" t="s">
        <v>10</v>
      </c>
      <c r="C49" s="2">
        <v>27</v>
      </c>
      <c r="D49" s="2">
        <v>20</v>
      </c>
      <c r="E49" s="2">
        <v>11</v>
      </c>
      <c r="F49" s="2">
        <v>22</v>
      </c>
      <c r="G49" s="2">
        <v>15</v>
      </c>
      <c r="H49" s="2">
        <v>17</v>
      </c>
      <c r="I49" s="2">
        <v>15</v>
      </c>
      <c r="J49" s="2">
        <v>11</v>
      </c>
      <c r="V49" s="8"/>
    </row>
    <row r="50" spans="2:22">
      <c r="B50" s="3" t="s">
        <v>9</v>
      </c>
      <c r="C50" s="22">
        <v>25</v>
      </c>
      <c r="D50" s="22">
        <v>25</v>
      </c>
      <c r="E50" s="22">
        <v>15</v>
      </c>
      <c r="F50" s="22">
        <v>39</v>
      </c>
      <c r="G50" s="22">
        <v>39</v>
      </c>
      <c r="H50" s="22">
        <v>25</v>
      </c>
      <c r="I50" s="22">
        <v>46</v>
      </c>
      <c r="J50" s="22">
        <v>38</v>
      </c>
      <c r="K50" s="22"/>
      <c r="L50" s="22"/>
    </row>
    <row r="51" spans="2:22">
      <c r="B51" s="6"/>
      <c r="C51" s="23">
        <f>SUM(C44:C50)</f>
        <v>131</v>
      </c>
      <c r="D51" s="23">
        <f>SUM(D44:D50)</f>
        <v>119</v>
      </c>
      <c r="E51" s="23">
        <f>SUM(E44:E50)</f>
        <v>72</v>
      </c>
      <c r="F51" s="23">
        <f>SUM(F44:F50)</f>
        <v>152</v>
      </c>
      <c r="G51" s="23">
        <f>SUM(G44:G50)</f>
        <v>139</v>
      </c>
      <c r="H51" s="23">
        <f>SUM(H44:H50)</f>
        <v>134</v>
      </c>
      <c r="I51" s="23">
        <f>SUM(I44:I50)</f>
        <v>154</v>
      </c>
      <c r="J51" s="23">
        <f>SUM(J44:J50)</f>
        <v>139</v>
      </c>
      <c r="K51" s="23">
        <f>SUM(K44:K50)</f>
        <v>0</v>
      </c>
      <c r="L51" s="23">
        <f>SUM(L44:L50)</f>
        <v>0</v>
      </c>
    </row>
    <row r="59" spans="2:22">
      <c r="B59" s="6"/>
    </row>
    <row r="60" spans="2:22">
      <c r="B60" s="6"/>
    </row>
    <row r="61" spans="2:22">
      <c r="B61" s="6"/>
    </row>
    <row r="62" spans="2:22">
      <c r="B62" s="6"/>
    </row>
    <row r="63" spans="2:22">
      <c r="B63" s="6"/>
    </row>
    <row r="64" spans="2:22">
      <c r="B64" s="6"/>
    </row>
    <row r="75" spans="2:2">
      <c r="B75" s="6"/>
    </row>
    <row r="76" spans="2:2">
      <c r="B76" s="6"/>
    </row>
    <row r="77" spans="2:2">
      <c r="B77" s="6"/>
    </row>
  </sheetData>
  <pageMargins left="0.7" right="0.7" top="0.75" bottom="0.75" header="0.3" footer="0.3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Oficinas</vt:lpstr>
      <vt:lpstr>Areas</vt:lpstr>
    </vt:vector>
  </TitlesOfParts>
  <Company>PropertyWeb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PropertyWeb</dc:creator>
  <cp:lastModifiedBy>Pablo Escamilla</cp:lastModifiedBy>
  <cp:lastPrinted>2014-12-22T18:25:23Z</cp:lastPrinted>
  <dcterms:created xsi:type="dcterms:W3CDTF">2012-09-23T14:30:17Z</dcterms:created>
  <dcterms:modified xsi:type="dcterms:W3CDTF">2015-01-08T23:46:11Z</dcterms:modified>
</cp:coreProperties>
</file>