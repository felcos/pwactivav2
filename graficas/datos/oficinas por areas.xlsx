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0" windowWidth="33435" windowHeight="15990" tabRatio="619"/>
  </bookViews>
  <sheets>
    <sheet name="Madrid" sheetId="16" r:id="rId1"/>
    <sheet name="Barcelona" sheetId="15" r:id="rId2"/>
  </sheets>
  <calcPr calcId="125725"/>
</workbook>
</file>

<file path=xl/calcChain.xml><?xml version="1.0" encoding="utf-8"?>
<calcChain xmlns="http://schemas.openxmlformats.org/spreadsheetml/2006/main">
  <c r="D33" i="15"/>
  <c r="E33"/>
  <c r="F33"/>
  <c r="G33"/>
  <c r="H33"/>
  <c r="I33"/>
  <c r="C33"/>
  <c r="J31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D33" i="16"/>
  <c r="E33"/>
  <c r="F33"/>
  <c r="G33"/>
  <c r="H33"/>
  <c r="I33"/>
  <c r="C33"/>
  <c r="J33" s="1"/>
  <c r="J5"/>
  <c r="J6"/>
  <c r="J7"/>
  <c r="J34" s="1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1"/>
  <c r="J30"/>
  <c r="J34" i="15" l="1"/>
  <c r="J33"/>
</calcChain>
</file>

<file path=xl/sharedStrings.xml><?xml version="1.0" encoding="utf-8"?>
<sst xmlns="http://schemas.openxmlformats.org/spreadsheetml/2006/main" count="42" uniqueCount="14">
  <si>
    <t>M2</t>
  </si>
  <si>
    <t>DEC</t>
  </si>
  <si>
    <t>PRIME</t>
  </si>
  <si>
    <t>OUT</t>
  </si>
  <si>
    <t>A3</t>
  </si>
  <si>
    <t>A2</t>
  </si>
  <si>
    <t>A1</t>
  </si>
  <si>
    <t>N/D</t>
  </si>
  <si>
    <t>ops</t>
  </si>
  <si>
    <t>Total</t>
  </si>
  <si>
    <t>MADRID</t>
  </si>
  <si>
    <t>BARCELONA</t>
  </si>
  <si>
    <t>Fuente: Property Web</t>
  </si>
  <si>
    <t>BD: graf_oficinas_por_areas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</si>
</sst>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name val="Arial"/>
      <family val="2"/>
    </font>
    <font>
      <b/>
      <sz val="11"/>
      <name val="Calibri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3" fontId="0" fillId="0" borderId="0" xfId="0" applyNumberFormat="1"/>
    <xf numFmtId="0" fontId="4" fillId="0" borderId="1" xfId="0" applyFont="1" applyBorder="1"/>
    <xf numFmtId="3" fontId="4" fillId="0" borderId="1" xfId="0" applyNumberFormat="1" applyFont="1" applyBorder="1"/>
    <xf numFmtId="0" fontId="4" fillId="0" borderId="6" xfId="0" applyFont="1" applyBorder="1"/>
    <xf numFmtId="0" fontId="7" fillId="0" borderId="4" xfId="0" applyFont="1" applyBorder="1" applyAlignment="1">
      <alignment horizontal="left" vertical="top"/>
    </xf>
    <xf numFmtId="0" fontId="8" fillId="0" borderId="0" xfId="0" applyFont="1"/>
    <xf numFmtId="3" fontId="4" fillId="0" borderId="6" xfId="0" applyNumberFormat="1" applyFont="1" applyBorder="1"/>
    <xf numFmtId="0" fontId="6" fillId="0" borderId="0" xfId="0" applyFont="1" applyFill="1" applyAlignment="1">
      <alignment vertical="top"/>
    </xf>
    <xf numFmtId="0" fontId="5" fillId="0" borderId="2" xfId="0" applyNumberFormat="1" applyFont="1" applyBorder="1" applyAlignment="1">
      <alignment horizontal="left" vertical="top"/>
    </xf>
    <xf numFmtId="3" fontId="9" fillId="0" borderId="5" xfId="0" applyNumberFormat="1" applyFont="1" applyBorder="1" applyAlignment="1">
      <alignment vertical="top"/>
    </xf>
    <xf numFmtId="3" fontId="9" fillId="0" borderId="7" xfId="0" applyNumberFormat="1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3" fontId="9" fillId="0" borderId="3" xfId="0" applyNumberFormat="1" applyFont="1" applyBorder="1" applyAlignment="1">
      <alignment vertical="top"/>
    </xf>
    <xf numFmtId="0" fontId="10" fillId="0" borderId="1" xfId="0" applyFont="1" applyBorder="1" applyAlignment="1"/>
    <xf numFmtId="0" fontId="0" fillId="0" borderId="0" xfId="0"/>
    <xf numFmtId="0" fontId="2" fillId="0" borderId="0" xfId="0" applyFont="1"/>
    <xf numFmtId="0" fontId="5" fillId="0" borderId="2" xfId="0" applyNumberFormat="1" applyFont="1" applyFill="1" applyBorder="1" applyAlignment="1">
      <alignment horizontal="left" vertical="top"/>
    </xf>
    <xf numFmtId="3" fontId="6" fillId="0" borderId="0" xfId="0" applyNumberFormat="1" applyFont="1" applyFill="1" applyAlignment="1">
      <alignment vertical="top"/>
    </xf>
    <xf numFmtId="0" fontId="5" fillId="3" borderId="2" xfId="0" applyNumberFormat="1" applyFont="1" applyFill="1" applyBorder="1" applyAlignment="1">
      <alignment horizontal="left" vertical="top"/>
    </xf>
    <xf numFmtId="3" fontId="6" fillId="3" borderId="0" xfId="0" applyNumberFormat="1" applyFont="1" applyFill="1" applyAlignment="1">
      <alignment vertical="top"/>
    </xf>
    <xf numFmtId="3" fontId="9" fillId="3" borderId="5" xfId="0" applyNumberFormat="1" applyFont="1" applyFill="1" applyBorder="1" applyAlignment="1">
      <alignment vertical="top"/>
    </xf>
  </cellXfs>
  <cellStyles count="3">
    <cellStyle name="Normal" xfId="0" builtinId="0"/>
    <cellStyle name="Normal 2" xfId="1"/>
    <cellStyle name="Porcentual 2" xfId="2"/>
  </cellStyles>
  <dxfs count="0"/>
  <tableStyles count="0" defaultTableStyle="TableStyleMedium2" defaultPivotStyle="PivotStyleLight16"/>
  <colors>
    <mruColors>
      <color rgb="FF2B4E61"/>
      <color rgb="FFFE6700"/>
      <color rgb="FF010000"/>
      <color rgb="FF00FFFF"/>
      <color rgb="FF800000"/>
      <color rgb="FF4F81BD"/>
      <color rgb="FFD3D3D3"/>
      <color rgb="FFFFFFFF"/>
      <color rgb="FFE8E8E8"/>
      <color rgb="FF99663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Mercado de Oficinas - Madrid</a:t>
            </a:r>
          </a:p>
          <a:p>
            <a:pPr>
              <a:defRPr/>
            </a:pPr>
            <a:r>
              <a:rPr lang="es-ES"/>
              <a:t>distribución por Áreas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320194839389152"/>
          <c:y val="0.13474333333333446"/>
          <c:w val="0.76303133228015185"/>
          <c:h val="0.67307527777778042"/>
        </c:manualLayout>
      </c:layout>
      <c:barChart>
        <c:barDir val="col"/>
        <c:grouping val="stacked"/>
        <c:ser>
          <c:idx val="1"/>
          <c:order val="0"/>
          <c:tx>
            <c:strRef>
              <c:f>Madrid!$C$4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Madrid!$C$16:$C$31</c:f>
              <c:numCache>
                <c:formatCode>#,##0</c:formatCode>
                <c:ptCount val="16"/>
                <c:pt idx="0">
                  <c:v>87091</c:v>
                </c:pt>
                <c:pt idx="1">
                  <c:v>2940</c:v>
                </c:pt>
                <c:pt idx="2">
                  <c:v>8440</c:v>
                </c:pt>
                <c:pt idx="3">
                  <c:v>14715</c:v>
                </c:pt>
                <c:pt idx="4">
                  <c:v>6235</c:v>
                </c:pt>
                <c:pt idx="5">
                  <c:v>16960</c:v>
                </c:pt>
                <c:pt idx="6">
                  <c:v>12985</c:v>
                </c:pt>
                <c:pt idx="7">
                  <c:v>11565</c:v>
                </c:pt>
                <c:pt idx="8">
                  <c:v>496685</c:v>
                </c:pt>
                <c:pt idx="9">
                  <c:v>91996</c:v>
                </c:pt>
                <c:pt idx="10">
                  <c:v>17850</c:v>
                </c:pt>
                <c:pt idx="11">
                  <c:v>12522</c:v>
                </c:pt>
                <c:pt idx="12">
                  <c:v>7510</c:v>
                </c:pt>
                <c:pt idx="13">
                  <c:v>1260</c:v>
                </c:pt>
                <c:pt idx="14">
                  <c:v>17535</c:v>
                </c:pt>
                <c:pt idx="15">
                  <c:v>2300</c:v>
                </c:pt>
              </c:numCache>
            </c:numRef>
          </c:val>
        </c:ser>
        <c:ser>
          <c:idx val="2"/>
          <c:order val="1"/>
          <c:tx>
            <c:strRef>
              <c:f>Madrid!$D$4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010000"/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Madrid!$D$16:$D$31</c:f>
              <c:numCache>
                <c:formatCode>#,##0</c:formatCode>
                <c:ptCount val="16"/>
                <c:pt idx="0">
                  <c:v>285044</c:v>
                </c:pt>
                <c:pt idx="1">
                  <c:v>109048</c:v>
                </c:pt>
                <c:pt idx="2">
                  <c:v>69915</c:v>
                </c:pt>
                <c:pt idx="3">
                  <c:v>117231</c:v>
                </c:pt>
                <c:pt idx="4">
                  <c:v>77449</c:v>
                </c:pt>
                <c:pt idx="5">
                  <c:v>114210</c:v>
                </c:pt>
                <c:pt idx="6">
                  <c:v>139977</c:v>
                </c:pt>
                <c:pt idx="7">
                  <c:v>102010</c:v>
                </c:pt>
                <c:pt idx="8">
                  <c:v>58470</c:v>
                </c:pt>
                <c:pt idx="9">
                  <c:v>76850</c:v>
                </c:pt>
                <c:pt idx="10">
                  <c:v>84145</c:v>
                </c:pt>
                <c:pt idx="11">
                  <c:v>82061</c:v>
                </c:pt>
                <c:pt idx="12">
                  <c:v>42515</c:v>
                </c:pt>
                <c:pt idx="13">
                  <c:v>54155</c:v>
                </c:pt>
                <c:pt idx="14">
                  <c:v>34490</c:v>
                </c:pt>
                <c:pt idx="15">
                  <c:v>32065</c:v>
                </c:pt>
              </c:numCache>
            </c:numRef>
          </c:val>
        </c:ser>
        <c:ser>
          <c:idx val="3"/>
          <c:order val="2"/>
          <c:tx>
            <c:strRef>
              <c:f>Madrid!$E$4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00FFFF"/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Madrid!$E$16:$E$31</c:f>
              <c:numCache>
                <c:formatCode>#,##0</c:formatCode>
                <c:ptCount val="16"/>
                <c:pt idx="0">
                  <c:v>101585</c:v>
                </c:pt>
                <c:pt idx="1">
                  <c:v>62680</c:v>
                </c:pt>
                <c:pt idx="2">
                  <c:v>80107</c:v>
                </c:pt>
                <c:pt idx="3">
                  <c:v>80320</c:v>
                </c:pt>
                <c:pt idx="4">
                  <c:v>62366</c:v>
                </c:pt>
                <c:pt idx="5">
                  <c:v>88946</c:v>
                </c:pt>
                <c:pt idx="6">
                  <c:v>68122</c:v>
                </c:pt>
                <c:pt idx="7">
                  <c:v>82395</c:v>
                </c:pt>
                <c:pt idx="8">
                  <c:v>84552</c:v>
                </c:pt>
                <c:pt idx="9">
                  <c:v>46329</c:v>
                </c:pt>
                <c:pt idx="10">
                  <c:v>52450</c:v>
                </c:pt>
                <c:pt idx="11">
                  <c:v>61379</c:v>
                </c:pt>
                <c:pt idx="12">
                  <c:v>63523</c:v>
                </c:pt>
                <c:pt idx="13">
                  <c:v>57710</c:v>
                </c:pt>
                <c:pt idx="14">
                  <c:v>112920</c:v>
                </c:pt>
                <c:pt idx="15">
                  <c:v>43417</c:v>
                </c:pt>
              </c:numCache>
            </c:numRef>
          </c:val>
        </c:ser>
        <c:ser>
          <c:idx val="4"/>
          <c:order val="3"/>
          <c:tx>
            <c:strRef>
              <c:f>Madrid!$F$4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Madrid!$F$16:$F$31</c:f>
              <c:numCache>
                <c:formatCode>#,##0</c:formatCode>
                <c:ptCount val="16"/>
                <c:pt idx="0">
                  <c:v>105921</c:v>
                </c:pt>
                <c:pt idx="1">
                  <c:v>79708</c:v>
                </c:pt>
                <c:pt idx="2">
                  <c:v>82170</c:v>
                </c:pt>
                <c:pt idx="3">
                  <c:v>43013</c:v>
                </c:pt>
                <c:pt idx="4">
                  <c:v>127784</c:v>
                </c:pt>
                <c:pt idx="5">
                  <c:v>51094</c:v>
                </c:pt>
                <c:pt idx="6">
                  <c:v>57155</c:v>
                </c:pt>
                <c:pt idx="7">
                  <c:v>91135</c:v>
                </c:pt>
                <c:pt idx="8">
                  <c:v>13720</c:v>
                </c:pt>
                <c:pt idx="9">
                  <c:v>43255</c:v>
                </c:pt>
                <c:pt idx="10">
                  <c:v>21095</c:v>
                </c:pt>
                <c:pt idx="11">
                  <c:v>37972</c:v>
                </c:pt>
                <c:pt idx="12">
                  <c:v>21025</c:v>
                </c:pt>
                <c:pt idx="13">
                  <c:v>13470</c:v>
                </c:pt>
                <c:pt idx="14">
                  <c:v>31984</c:v>
                </c:pt>
                <c:pt idx="15">
                  <c:v>46347</c:v>
                </c:pt>
              </c:numCache>
            </c:numRef>
          </c:val>
        </c:ser>
        <c:ser>
          <c:idx val="5"/>
          <c:order val="4"/>
          <c:tx>
            <c:strRef>
              <c:f>Madrid!$G$4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Madrid!$G$16:$G$31</c:f>
              <c:numCache>
                <c:formatCode>#,##0</c:formatCode>
                <c:ptCount val="16"/>
                <c:pt idx="0">
                  <c:v>91536</c:v>
                </c:pt>
                <c:pt idx="1">
                  <c:v>22150</c:v>
                </c:pt>
                <c:pt idx="2">
                  <c:v>24595</c:v>
                </c:pt>
                <c:pt idx="3">
                  <c:v>19783</c:v>
                </c:pt>
                <c:pt idx="4">
                  <c:v>22500</c:v>
                </c:pt>
                <c:pt idx="5">
                  <c:v>24805</c:v>
                </c:pt>
                <c:pt idx="6">
                  <c:v>34370</c:v>
                </c:pt>
                <c:pt idx="7">
                  <c:v>52132</c:v>
                </c:pt>
                <c:pt idx="8">
                  <c:v>18750</c:v>
                </c:pt>
                <c:pt idx="9">
                  <c:v>11585</c:v>
                </c:pt>
                <c:pt idx="10">
                  <c:v>20620</c:v>
                </c:pt>
                <c:pt idx="11">
                  <c:v>20010</c:v>
                </c:pt>
                <c:pt idx="12">
                  <c:v>7441</c:v>
                </c:pt>
                <c:pt idx="13">
                  <c:v>25510</c:v>
                </c:pt>
                <c:pt idx="14">
                  <c:v>17262</c:v>
                </c:pt>
                <c:pt idx="15">
                  <c:v>31288</c:v>
                </c:pt>
              </c:numCache>
            </c:numRef>
          </c:val>
        </c:ser>
        <c:ser>
          <c:idx val="6"/>
          <c:order val="5"/>
          <c:tx>
            <c:strRef>
              <c:f>Madrid!$H$4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Madrid!$H$16:$H$31</c:f>
              <c:numCache>
                <c:formatCode>#,##0</c:formatCode>
                <c:ptCount val="16"/>
                <c:pt idx="0">
                  <c:v>68040</c:v>
                </c:pt>
                <c:pt idx="1">
                  <c:v>24820</c:v>
                </c:pt>
                <c:pt idx="2">
                  <c:v>13260</c:v>
                </c:pt>
                <c:pt idx="3">
                  <c:v>47795</c:v>
                </c:pt>
                <c:pt idx="4">
                  <c:v>40706</c:v>
                </c:pt>
                <c:pt idx="5">
                  <c:v>30380</c:v>
                </c:pt>
                <c:pt idx="6">
                  <c:v>15550</c:v>
                </c:pt>
                <c:pt idx="7">
                  <c:v>26395</c:v>
                </c:pt>
                <c:pt idx="8">
                  <c:v>25195</c:v>
                </c:pt>
                <c:pt idx="9">
                  <c:v>21185</c:v>
                </c:pt>
                <c:pt idx="10">
                  <c:v>48109</c:v>
                </c:pt>
                <c:pt idx="11">
                  <c:v>31370</c:v>
                </c:pt>
                <c:pt idx="12">
                  <c:v>16128</c:v>
                </c:pt>
                <c:pt idx="13">
                  <c:v>83020</c:v>
                </c:pt>
                <c:pt idx="14">
                  <c:v>25730</c:v>
                </c:pt>
                <c:pt idx="15">
                  <c:v>17897</c:v>
                </c:pt>
              </c:numCache>
            </c:numRef>
          </c:val>
        </c:ser>
        <c:ser>
          <c:idx val="7"/>
          <c:order val="6"/>
          <c:tx>
            <c:strRef>
              <c:f>Madrid!$I$4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800000"/>
            </a:solidFill>
          </c:spPr>
          <c:cat>
            <c:numRef>
              <c:f>Madrid!$B$16:$B$31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Madrid!$I$16:$I$31</c:f>
              <c:numCache>
                <c:formatCode>#,##0</c:formatCode>
                <c:ptCount val="16"/>
                <c:pt idx="0">
                  <c:v>443194</c:v>
                </c:pt>
                <c:pt idx="1">
                  <c:v>97743</c:v>
                </c:pt>
                <c:pt idx="2">
                  <c:v>117613</c:v>
                </c:pt>
                <c:pt idx="3">
                  <c:v>303803</c:v>
                </c:pt>
                <c:pt idx="4">
                  <c:v>128375</c:v>
                </c:pt>
                <c:pt idx="5">
                  <c:v>60269</c:v>
                </c:pt>
                <c:pt idx="6">
                  <c:v>166368</c:v>
                </c:pt>
                <c:pt idx="7">
                  <c:v>154705</c:v>
                </c:pt>
                <c:pt idx="8">
                  <c:v>152075</c:v>
                </c:pt>
                <c:pt idx="9">
                  <c:v>81345</c:v>
                </c:pt>
                <c:pt idx="10">
                  <c:v>121559</c:v>
                </c:pt>
                <c:pt idx="11">
                  <c:v>105731</c:v>
                </c:pt>
                <c:pt idx="12">
                  <c:v>104255</c:v>
                </c:pt>
                <c:pt idx="13">
                  <c:v>146310</c:v>
                </c:pt>
                <c:pt idx="14">
                  <c:v>105350</c:v>
                </c:pt>
                <c:pt idx="15">
                  <c:v>36092</c:v>
                </c:pt>
              </c:numCache>
            </c:numRef>
          </c:val>
        </c:ser>
        <c:gapWidth val="30"/>
        <c:overlap val="100"/>
        <c:axId val="162556160"/>
        <c:axId val="162566144"/>
      </c:barChart>
      <c:catAx>
        <c:axId val="162556160"/>
        <c:scaling>
          <c:orientation val="minMax"/>
        </c:scaling>
        <c:axPos val="b"/>
        <c:numFmt formatCode="General" sourceLinked="1"/>
        <c:tickLblPos val="nextTo"/>
        <c:txPr>
          <a:bodyPr rot="0"/>
          <a:lstStyle/>
          <a:p>
            <a:pPr>
              <a:defRPr sz="1400" b="1"/>
            </a:pPr>
            <a:endParaRPr lang="es-ES"/>
          </a:p>
        </c:txPr>
        <c:crossAx val="162566144"/>
        <c:crosses val="autoZero"/>
        <c:auto val="1"/>
        <c:lblAlgn val="ctr"/>
        <c:lblOffset val="100"/>
        <c:tickLblSkip val="5"/>
      </c:catAx>
      <c:valAx>
        <c:axId val="162566144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6255616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1703528172722567E-2"/>
                <c:y val="0.13775833333333429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s-ES"/>
                    <a:t>Miles de Metros Cuadrados</a:t>
                  </a:r>
                </a:p>
              </c:rich>
            </c:tx>
          </c:dispUnitsLbl>
        </c:dispUnits>
      </c:valAx>
      <c:spPr>
        <a:noFill/>
      </c:spPr>
    </c:plotArea>
    <c:legend>
      <c:legendPos val="r"/>
      <c:layout/>
      <c:txPr>
        <a:bodyPr/>
        <a:lstStyle/>
        <a:p>
          <a:pPr>
            <a:defRPr sz="1200"/>
          </a:pPr>
          <a:endParaRPr lang="es-ES"/>
        </a:p>
      </c:txPr>
    </c:legend>
    <c:plotVisOnly val="1"/>
  </c:chart>
  <c:spPr>
    <a:noFill/>
    <a:ln>
      <a:noFill/>
    </a:ln>
  </c:spPr>
  <c:txPr>
    <a:bodyPr/>
    <a:lstStyle/>
    <a:p>
      <a:pPr>
        <a:defRPr sz="1600" baseline="0">
          <a:solidFill>
            <a:schemeClr val="bg1"/>
          </a:solidFill>
        </a:defRPr>
      </a:pPr>
      <a:endParaRPr lang="es-E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Mercado de Oficinas - Barcelona</a:t>
            </a:r>
          </a:p>
          <a:p>
            <a:pPr>
              <a:defRPr/>
            </a:pPr>
            <a:r>
              <a:rPr lang="es-ES"/>
              <a:t>distribución por Áreas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767812006319168"/>
          <c:y val="0.13474333333333438"/>
          <c:w val="0.77855516061084784"/>
          <c:h val="0.68365861111111281"/>
        </c:manualLayout>
      </c:layout>
      <c:barChart>
        <c:barDir val="col"/>
        <c:grouping val="stacked"/>
        <c:ser>
          <c:idx val="1"/>
          <c:order val="0"/>
          <c:tx>
            <c:strRef>
              <c:f>Barcelona!$C$4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Barcelona!$C$16:$C$31</c:f>
              <c:numCache>
                <c:formatCode>#,##0</c:formatCode>
                <c:ptCount val="16"/>
                <c:pt idx="0">
                  <c:v>13660</c:v>
                </c:pt>
                <c:pt idx="1">
                  <c:v>9905</c:v>
                </c:pt>
                <c:pt idx="2">
                  <c:v>912</c:v>
                </c:pt>
                <c:pt idx="3">
                  <c:v>820</c:v>
                </c:pt>
                <c:pt idx="4">
                  <c:v>2925</c:v>
                </c:pt>
                <c:pt idx="5">
                  <c:v>5240</c:v>
                </c:pt>
                <c:pt idx="6">
                  <c:v>7920</c:v>
                </c:pt>
                <c:pt idx="7">
                  <c:v>12000</c:v>
                </c:pt>
                <c:pt idx="8">
                  <c:v>1720</c:v>
                </c:pt>
                <c:pt idx="9">
                  <c:v>2885</c:v>
                </c:pt>
                <c:pt idx="10">
                  <c:v>3695</c:v>
                </c:pt>
                <c:pt idx="11">
                  <c:v>3095</c:v>
                </c:pt>
                <c:pt idx="12">
                  <c:v>3125</c:v>
                </c:pt>
                <c:pt idx="13">
                  <c:v>1529</c:v>
                </c:pt>
                <c:pt idx="14">
                  <c:v>21555</c:v>
                </c:pt>
                <c:pt idx="15">
                  <c:v>1634</c:v>
                </c:pt>
              </c:numCache>
            </c:numRef>
          </c:val>
        </c:ser>
        <c:ser>
          <c:idx val="2"/>
          <c:order val="1"/>
          <c:tx>
            <c:strRef>
              <c:f>Barcelona!$D$4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010000"/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Barcelona!$D$16:$D$31</c:f>
              <c:numCache>
                <c:formatCode>#,##0</c:formatCode>
                <c:ptCount val="16"/>
                <c:pt idx="0">
                  <c:v>24776</c:v>
                </c:pt>
                <c:pt idx="1">
                  <c:v>24750</c:v>
                </c:pt>
                <c:pt idx="2">
                  <c:v>50690</c:v>
                </c:pt>
                <c:pt idx="3">
                  <c:v>28220</c:v>
                </c:pt>
                <c:pt idx="4">
                  <c:v>27525</c:v>
                </c:pt>
                <c:pt idx="5">
                  <c:v>55550</c:v>
                </c:pt>
                <c:pt idx="6">
                  <c:v>78660</c:v>
                </c:pt>
                <c:pt idx="7">
                  <c:v>38260</c:v>
                </c:pt>
                <c:pt idx="8">
                  <c:v>54025</c:v>
                </c:pt>
                <c:pt idx="9">
                  <c:v>49996</c:v>
                </c:pt>
                <c:pt idx="10">
                  <c:v>59875</c:v>
                </c:pt>
                <c:pt idx="11">
                  <c:v>64035</c:v>
                </c:pt>
                <c:pt idx="12">
                  <c:v>27145</c:v>
                </c:pt>
                <c:pt idx="13">
                  <c:v>50175</c:v>
                </c:pt>
                <c:pt idx="14">
                  <c:v>51900</c:v>
                </c:pt>
                <c:pt idx="15">
                  <c:v>36939</c:v>
                </c:pt>
              </c:numCache>
            </c:numRef>
          </c:val>
        </c:ser>
        <c:ser>
          <c:idx val="3"/>
          <c:order val="2"/>
          <c:tx>
            <c:strRef>
              <c:f>Barcelona!$E$4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00FFFF"/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Barcelona!$E$16:$E$31</c:f>
              <c:numCache>
                <c:formatCode>#,##0</c:formatCode>
                <c:ptCount val="16"/>
                <c:pt idx="0">
                  <c:v>11220</c:v>
                </c:pt>
                <c:pt idx="1">
                  <c:v>14670</c:v>
                </c:pt>
                <c:pt idx="2">
                  <c:v>47660</c:v>
                </c:pt>
                <c:pt idx="3">
                  <c:v>33595</c:v>
                </c:pt>
                <c:pt idx="4">
                  <c:v>32635</c:v>
                </c:pt>
                <c:pt idx="5">
                  <c:v>22163</c:v>
                </c:pt>
                <c:pt idx="6">
                  <c:v>21060</c:v>
                </c:pt>
                <c:pt idx="7">
                  <c:v>18350</c:v>
                </c:pt>
                <c:pt idx="8">
                  <c:v>39665</c:v>
                </c:pt>
                <c:pt idx="9">
                  <c:v>24125</c:v>
                </c:pt>
                <c:pt idx="10">
                  <c:v>26537</c:v>
                </c:pt>
                <c:pt idx="11">
                  <c:v>23590</c:v>
                </c:pt>
                <c:pt idx="12">
                  <c:v>54920</c:v>
                </c:pt>
                <c:pt idx="13">
                  <c:v>40285</c:v>
                </c:pt>
                <c:pt idx="14">
                  <c:v>43670</c:v>
                </c:pt>
                <c:pt idx="15">
                  <c:v>21961</c:v>
                </c:pt>
              </c:numCache>
            </c:numRef>
          </c:val>
        </c:ser>
        <c:ser>
          <c:idx val="4"/>
          <c:order val="3"/>
          <c:tx>
            <c:strRef>
              <c:f>Barcelona!$F$4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Barcelona!$F$16:$F$31</c:f>
              <c:numCache>
                <c:formatCode>#,##0</c:formatCode>
                <c:ptCount val="16"/>
                <c:pt idx="0">
                  <c:v>14125</c:v>
                </c:pt>
                <c:pt idx="1">
                  <c:v>17745</c:v>
                </c:pt>
                <c:pt idx="2">
                  <c:v>24980</c:v>
                </c:pt>
                <c:pt idx="3">
                  <c:v>9720</c:v>
                </c:pt>
                <c:pt idx="4">
                  <c:v>30085</c:v>
                </c:pt>
                <c:pt idx="5">
                  <c:v>27940</c:v>
                </c:pt>
                <c:pt idx="6">
                  <c:v>10080</c:v>
                </c:pt>
                <c:pt idx="7">
                  <c:v>13115</c:v>
                </c:pt>
                <c:pt idx="8">
                  <c:v>28975</c:v>
                </c:pt>
                <c:pt idx="9">
                  <c:v>24690</c:v>
                </c:pt>
                <c:pt idx="10">
                  <c:v>24365</c:v>
                </c:pt>
                <c:pt idx="11">
                  <c:v>29720</c:v>
                </c:pt>
                <c:pt idx="12">
                  <c:v>28045</c:v>
                </c:pt>
                <c:pt idx="13">
                  <c:v>26560</c:v>
                </c:pt>
                <c:pt idx="14">
                  <c:v>28407</c:v>
                </c:pt>
                <c:pt idx="15">
                  <c:v>35459</c:v>
                </c:pt>
              </c:numCache>
            </c:numRef>
          </c:val>
        </c:ser>
        <c:ser>
          <c:idx val="5"/>
          <c:order val="4"/>
          <c:tx>
            <c:strRef>
              <c:f>Barcelona!$G$4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Barcelona!$G$16:$G$31</c:f>
              <c:numCache>
                <c:formatCode>#,##0</c:formatCode>
                <c:ptCount val="16"/>
                <c:pt idx="0">
                  <c:v>9800</c:v>
                </c:pt>
                <c:pt idx="1">
                  <c:v>1880</c:v>
                </c:pt>
                <c:pt idx="2">
                  <c:v>720</c:v>
                </c:pt>
                <c:pt idx="3">
                  <c:v>1960</c:v>
                </c:pt>
                <c:pt idx="4">
                  <c:v>3100</c:v>
                </c:pt>
                <c:pt idx="5">
                  <c:v>910</c:v>
                </c:pt>
                <c:pt idx="6">
                  <c:v>1295</c:v>
                </c:pt>
                <c:pt idx="7">
                  <c:v>1845</c:v>
                </c:pt>
                <c:pt idx="8">
                  <c:v>2655</c:v>
                </c:pt>
                <c:pt idx="9">
                  <c:v>3795</c:v>
                </c:pt>
                <c:pt idx="10">
                  <c:v>14675</c:v>
                </c:pt>
                <c:pt idx="11">
                  <c:v>4045</c:v>
                </c:pt>
                <c:pt idx="12">
                  <c:v>3055</c:v>
                </c:pt>
                <c:pt idx="13">
                  <c:v>1625</c:v>
                </c:pt>
                <c:pt idx="14">
                  <c:v>3260</c:v>
                </c:pt>
                <c:pt idx="15">
                  <c:v>2690</c:v>
                </c:pt>
              </c:numCache>
            </c:numRef>
          </c:val>
        </c:ser>
        <c:ser>
          <c:idx val="6"/>
          <c:order val="5"/>
          <c:tx>
            <c:strRef>
              <c:f>Barcelona!$H$4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Barcelona!$H$16:$H$31</c:f>
              <c:numCache>
                <c:formatCode>#,##0</c:formatCode>
                <c:ptCount val="16"/>
                <c:pt idx="0">
                  <c:v>3391</c:v>
                </c:pt>
                <c:pt idx="1">
                  <c:v>12208</c:v>
                </c:pt>
                <c:pt idx="2">
                  <c:v>13655</c:v>
                </c:pt>
                <c:pt idx="3">
                  <c:v>16316</c:v>
                </c:pt>
                <c:pt idx="4">
                  <c:v>14725</c:v>
                </c:pt>
                <c:pt idx="5">
                  <c:v>10010</c:v>
                </c:pt>
                <c:pt idx="6">
                  <c:v>6475</c:v>
                </c:pt>
                <c:pt idx="7">
                  <c:v>2940</c:v>
                </c:pt>
                <c:pt idx="8">
                  <c:v>3785</c:v>
                </c:pt>
                <c:pt idx="9">
                  <c:v>21875</c:v>
                </c:pt>
                <c:pt idx="10">
                  <c:v>5905</c:v>
                </c:pt>
                <c:pt idx="11">
                  <c:v>4380</c:v>
                </c:pt>
                <c:pt idx="12">
                  <c:v>5890</c:v>
                </c:pt>
                <c:pt idx="13">
                  <c:v>12140</c:v>
                </c:pt>
                <c:pt idx="14">
                  <c:v>9515</c:v>
                </c:pt>
                <c:pt idx="15">
                  <c:v>3360</c:v>
                </c:pt>
              </c:numCache>
            </c:numRef>
          </c:val>
        </c:ser>
        <c:ser>
          <c:idx val="7"/>
          <c:order val="6"/>
          <c:tx>
            <c:strRef>
              <c:f>Barcelona!$I$4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800000"/>
            </a:solidFill>
          </c:spPr>
          <c:cat>
            <c:numRef>
              <c:f>Barcelona!$B$16:$B$31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Barcelona!$I$16:$I$31</c:f>
              <c:numCache>
                <c:formatCode>#,##0</c:formatCode>
                <c:ptCount val="16"/>
                <c:pt idx="0">
                  <c:v>11040</c:v>
                </c:pt>
                <c:pt idx="1">
                  <c:v>14210</c:v>
                </c:pt>
                <c:pt idx="2">
                  <c:v>74995</c:v>
                </c:pt>
                <c:pt idx="3">
                  <c:v>19577</c:v>
                </c:pt>
                <c:pt idx="4">
                  <c:v>65890</c:v>
                </c:pt>
                <c:pt idx="5">
                  <c:v>42920</c:v>
                </c:pt>
                <c:pt idx="6">
                  <c:v>41625</c:v>
                </c:pt>
                <c:pt idx="7">
                  <c:v>29950</c:v>
                </c:pt>
                <c:pt idx="8">
                  <c:v>68940</c:v>
                </c:pt>
                <c:pt idx="9">
                  <c:v>54640</c:v>
                </c:pt>
                <c:pt idx="10">
                  <c:v>39460</c:v>
                </c:pt>
                <c:pt idx="11">
                  <c:v>43620</c:v>
                </c:pt>
                <c:pt idx="12">
                  <c:v>40335</c:v>
                </c:pt>
                <c:pt idx="13">
                  <c:v>38214</c:v>
                </c:pt>
                <c:pt idx="14">
                  <c:v>80735</c:v>
                </c:pt>
                <c:pt idx="15">
                  <c:v>28278</c:v>
                </c:pt>
              </c:numCache>
            </c:numRef>
          </c:val>
        </c:ser>
        <c:gapWidth val="30"/>
        <c:overlap val="100"/>
        <c:axId val="164366208"/>
        <c:axId val="164367744"/>
      </c:barChart>
      <c:catAx>
        <c:axId val="164366208"/>
        <c:scaling>
          <c:orientation val="minMax"/>
        </c:scaling>
        <c:axPos val="b"/>
        <c:numFmt formatCode="General" sourceLinked="1"/>
        <c:tickLblPos val="nextTo"/>
        <c:txPr>
          <a:bodyPr rot="0"/>
          <a:lstStyle/>
          <a:p>
            <a:pPr>
              <a:defRPr sz="1400" b="1"/>
            </a:pPr>
            <a:endParaRPr lang="es-ES"/>
          </a:p>
        </c:txPr>
        <c:crossAx val="164367744"/>
        <c:crosses val="autoZero"/>
        <c:auto val="1"/>
        <c:lblAlgn val="ctr"/>
        <c:lblOffset val="100"/>
        <c:tickLblSkip val="5"/>
      </c:catAx>
      <c:valAx>
        <c:axId val="164367744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6436620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1703528172722567E-2"/>
                <c:y val="0.13775833333333429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s-ES"/>
                    <a:t>Miles de Metros Cuadrados</a:t>
                  </a:r>
                </a:p>
              </c:rich>
            </c:tx>
          </c:dispUnitsLbl>
        </c:dispUnits>
      </c:valAx>
      <c:spPr>
        <a:noFill/>
      </c:spPr>
    </c:plotArea>
    <c:legend>
      <c:legendPos val="r"/>
      <c:layout/>
      <c:txPr>
        <a:bodyPr/>
        <a:lstStyle/>
        <a:p>
          <a:pPr>
            <a:defRPr sz="1200"/>
          </a:pPr>
          <a:endParaRPr lang="es-ES"/>
        </a:p>
      </c:txPr>
    </c:legend>
    <c:plotVisOnly val="1"/>
  </c:chart>
  <c:spPr>
    <a:noFill/>
    <a:ln>
      <a:noFill/>
    </a:ln>
  </c:spPr>
  <c:txPr>
    <a:bodyPr/>
    <a:lstStyle/>
    <a:p>
      <a:pPr>
        <a:defRPr sz="1600" baseline="0">
          <a:solidFill>
            <a:schemeClr val="bg1"/>
          </a:solidFill>
        </a:defRPr>
      </a:pPr>
      <a:endParaRPr lang="es-E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672354</xdr:colOff>
      <xdr:row>5</xdr:row>
      <xdr:rowOff>100852</xdr:rowOff>
    </xdr:from>
    <xdr:to>
      <xdr:col>31</xdr:col>
      <xdr:colOff>648354</xdr:colOff>
      <xdr:row>24</xdr:row>
      <xdr:rowOff>81352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0.81433</cdr:x>
      <cdr:y>0.04358</cdr:y>
    </cdr:from>
    <cdr:to>
      <cdr:x>0.97956</cdr:x>
      <cdr:y>0.11206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185649" y="156885"/>
          <a:ext cx="1255058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Fuente</a:t>
          </a:r>
          <a:r>
            <a:rPr lang="es-ES" sz="900" baseline="0">
              <a:solidFill>
                <a:sysClr val="window" lastClr="FFFFFF"/>
              </a:solidFill>
            </a:rPr>
            <a:t>: Property Web</a:t>
          </a:r>
          <a:endParaRPr lang="es-ES" sz="900">
            <a:solidFill>
              <a:sysClr val="window" lastClr="FFFFFF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672354</xdr:colOff>
      <xdr:row>5</xdr:row>
      <xdr:rowOff>100852</xdr:rowOff>
    </xdr:from>
    <xdr:to>
      <xdr:col>31</xdr:col>
      <xdr:colOff>648354</xdr:colOff>
      <xdr:row>24</xdr:row>
      <xdr:rowOff>81352</xdr:rowOff>
    </xdr:to>
    <xdr:graphicFrame macro="">
      <xdr:nvGraphicFramePr>
        <xdr:cNvPr id="11" name="1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0.81876</cdr:x>
      <cdr:y>0.0498</cdr:y>
    </cdr:from>
    <cdr:to>
      <cdr:x>0.98398</cdr:x>
      <cdr:y>0.11828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219265" y="179293"/>
          <a:ext cx="1255058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Fuente</a:t>
          </a:r>
          <a:r>
            <a:rPr lang="es-ES" sz="900" baseline="0">
              <a:solidFill>
                <a:sysClr val="window" lastClr="FFFFFF"/>
              </a:solidFill>
            </a:rPr>
            <a:t>: Property Web</a:t>
          </a:r>
          <a:endParaRPr lang="es-ES" sz="900">
            <a:solidFill>
              <a:sysClr val="window" lastClr="FFFFFF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B2:AG34"/>
  <sheetViews>
    <sheetView tabSelected="1" zoomScale="85" zoomScaleNormal="85" workbookViewId="0">
      <selection activeCell="B2" sqref="B2"/>
    </sheetView>
  </sheetViews>
  <sheetFormatPr baseColWidth="10" defaultRowHeight="12.75" outlineLevelCol="1"/>
  <cols>
    <col min="1" max="1" width="2.140625" style="18" customWidth="1"/>
    <col min="2" max="3" width="9.85546875" style="18" customWidth="1"/>
    <col min="4" max="9" width="10" style="2" customWidth="1"/>
    <col min="10" max="10" width="13.7109375" style="2" bestFit="1" customWidth="1"/>
    <col min="11" max="11" width="5.5703125" style="18" customWidth="1"/>
    <col min="12" max="12" width="9.85546875" style="18" hidden="1" customWidth="1" outlineLevel="1"/>
    <col min="13" max="20" width="5.7109375" style="18" hidden="1" customWidth="1" outlineLevel="1"/>
    <col min="21" max="21" width="5.85546875" style="18" customWidth="1" collapsed="1"/>
    <col min="22" max="16384" width="11.42578125" style="18"/>
  </cols>
  <sheetData>
    <row r="2" spans="2:33" ht="18">
      <c r="B2" s="7" t="s">
        <v>10</v>
      </c>
      <c r="I2" s="2" t="s">
        <v>12</v>
      </c>
      <c r="L2" s="7"/>
      <c r="V2" s="19" t="s">
        <v>13</v>
      </c>
    </row>
    <row r="3" spans="2:33" ht="18">
      <c r="B3" s="7"/>
      <c r="L3" s="7"/>
    </row>
    <row r="4" spans="2:33">
      <c r="B4" s="4" t="s">
        <v>0</v>
      </c>
      <c r="C4" s="17" t="s">
        <v>7</v>
      </c>
      <c r="D4" s="17" t="s">
        <v>3</v>
      </c>
      <c r="E4" s="17" t="s">
        <v>6</v>
      </c>
      <c r="F4" s="17" t="s">
        <v>5</v>
      </c>
      <c r="G4" s="17" t="s">
        <v>4</v>
      </c>
      <c r="H4" s="17" t="s">
        <v>2</v>
      </c>
      <c r="I4" s="17" t="s">
        <v>1</v>
      </c>
      <c r="J4" s="8"/>
      <c r="L4" s="3" t="s">
        <v>8</v>
      </c>
      <c r="M4" s="17" t="s">
        <v>7</v>
      </c>
      <c r="N4" s="17" t="s">
        <v>3</v>
      </c>
      <c r="O4" s="17" t="s">
        <v>6</v>
      </c>
      <c r="P4" s="17" t="s">
        <v>5</v>
      </c>
      <c r="Q4" s="17" t="s">
        <v>4</v>
      </c>
      <c r="R4" s="17" t="s">
        <v>2</v>
      </c>
      <c r="S4" s="17" t="s">
        <v>1</v>
      </c>
      <c r="T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 ht="15">
      <c r="B5" s="22">
        <v>1989</v>
      </c>
      <c r="C5" s="23"/>
      <c r="D5" s="23"/>
      <c r="E5" s="23"/>
      <c r="F5" s="23"/>
      <c r="G5" s="23"/>
      <c r="H5" s="23">
        <v>4145</v>
      </c>
      <c r="I5" s="23">
        <v>5800</v>
      </c>
      <c r="J5" s="24">
        <f t="shared" ref="J5:J29" si="0">SUM(C5:I5)</f>
        <v>9945</v>
      </c>
      <c r="L5" s="10">
        <v>1989</v>
      </c>
      <c r="M5" s="9"/>
      <c r="N5" s="9"/>
      <c r="O5" s="9"/>
      <c r="P5" s="9"/>
      <c r="Q5" s="9"/>
      <c r="R5" s="9">
        <v>2</v>
      </c>
      <c r="S5" s="9">
        <v>1</v>
      </c>
      <c r="T5" s="13">
        <v>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2:33" ht="15">
      <c r="B6" s="22">
        <v>1990</v>
      </c>
      <c r="C6" s="23"/>
      <c r="D6" s="23"/>
      <c r="E6" s="23"/>
      <c r="F6" s="23">
        <v>0</v>
      </c>
      <c r="G6" s="23"/>
      <c r="H6" s="23"/>
      <c r="I6" s="23"/>
      <c r="J6" s="24">
        <f t="shared" si="0"/>
        <v>0</v>
      </c>
      <c r="L6" s="10">
        <v>1990</v>
      </c>
      <c r="M6" s="9"/>
      <c r="N6" s="9"/>
      <c r="O6" s="9"/>
      <c r="P6" s="9">
        <v>1</v>
      </c>
      <c r="Q6" s="9"/>
      <c r="R6" s="9"/>
      <c r="S6" s="9"/>
      <c r="T6" s="13">
        <v>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3" ht="15">
      <c r="B7" s="22">
        <v>1991</v>
      </c>
      <c r="C7" s="23"/>
      <c r="D7" s="23"/>
      <c r="E7" s="23"/>
      <c r="F7" s="23"/>
      <c r="G7" s="23"/>
      <c r="H7" s="23">
        <v>7870</v>
      </c>
      <c r="I7" s="23"/>
      <c r="J7" s="24">
        <f t="shared" si="0"/>
        <v>7870</v>
      </c>
      <c r="L7" s="10">
        <v>1991</v>
      </c>
      <c r="M7" s="9"/>
      <c r="N7" s="9"/>
      <c r="O7" s="9"/>
      <c r="P7" s="9"/>
      <c r="Q7" s="9"/>
      <c r="R7" s="9">
        <v>3</v>
      </c>
      <c r="S7" s="9"/>
      <c r="T7" s="13">
        <v>3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ht="15">
      <c r="B8" s="22">
        <v>1992</v>
      </c>
      <c r="C8" s="23"/>
      <c r="D8" s="23"/>
      <c r="E8" s="23"/>
      <c r="F8" s="23">
        <v>0</v>
      </c>
      <c r="G8" s="23"/>
      <c r="H8" s="23"/>
      <c r="I8" s="23"/>
      <c r="J8" s="24">
        <f t="shared" si="0"/>
        <v>0</v>
      </c>
      <c r="L8" s="10">
        <v>1992</v>
      </c>
      <c r="M8" s="9"/>
      <c r="N8" s="9"/>
      <c r="O8" s="9"/>
      <c r="P8" s="9">
        <v>1</v>
      </c>
      <c r="Q8" s="9"/>
      <c r="R8" s="9"/>
      <c r="S8" s="9"/>
      <c r="T8" s="13">
        <v>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ht="15">
      <c r="B9" s="22">
        <v>1993</v>
      </c>
      <c r="C9" s="23"/>
      <c r="D9" s="23">
        <v>1700</v>
      </c>
      <c r="E9" s="23">
        <v>4965</v>
      </c>
      <c r="F9" s="23">
        <v>1000</v>
      </c>
      <c r="G9" s="23">
        <v>16700</v>
      </c>
      <c r="H9" s="23">
        <v>14360</v>
      </c>
      <c r="I9" s="23">
        <v>18065</v>
      </c>
      <c r="J9" s="24">
        <f t="shared" si="0"/>
        <v>56790</v>
      </c>
      <c r="L9" s="10">
        <v>1993</v>
      </c>
      <c r="M9" s="9"/>
      <c r="N9" s="9">
        <v>3</v>
      </c>
      <c r="O9" s="9">
        <v>3</v>
      </c>
      <c r="P9" s="9">
        <v>2</v>
      </c>
      <c r="Q9" s="9">
        <v>2</v>
      </c>
      <c r="R9" s="9">
        <v>7</v>
      </c>
      <c r="S9" s="9">
        <v>2</v>
      </c>
      <c r="T9" s="13">
        <v>19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3" ht="15">
      <c r="B10" s="22">
        <v>1994</v>
      </c>
      <c r="C10" s="23"/>
      <c r="D10" s="23"/>
      <c r="E10" s="23"/>
      <c r="F10" s="23">
        <v>1050</v>
      </c>
      <c r="G10" s="23"/>
      <c r="H10" s="23">
        <v>12220</v>
      </c>
      <c r="I10" s="23">
        <v>47288</v>
      </c>
      <c r="J10" s="24">
        <f t="shared" si="0"/>
        <v>60558</v>
      </c>
      <c r="L10" s="10">
        <v>1994</v>
      </c>
      <c r="M10" s="9"/>
      <c r="N10" s="9"/>
      <c r="O10" s="9"/>
      <c r="P10" s="9">
        <v>3</v>
      </c>
      <c r="Q10" s="9"/>
      <c r="R10" s="9">
        <v>3</v>
      </c>
      <c r="S10" s="9">
        <v>1</v>
      </c>
      <c r="T10" s="13">
        <v>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3" ht="15">
      <c r="B11" s="22">
        <v>1995</v>
      </c>
      <c r="C11" s="23"/>
      <c r="D11" s="23">
        <v>23080</v>
      </c>
      <c r="E11" s="23">
        <v>10510</v>
      </c>
      <c r="F11" s="23"/>
      <c r="G11" s="23"/>
      <c r="H11" s="23">
        <v>935</v>
      </c>
      <c r="I11" s="23">
        <v>35159</v>
      </c>
      <c r="J11" s="24">
        <f t="shared" si="0"/>
        <v>69684</v>
      </c>
      <c r="L11" s="10">
        <v>1995</v>
      </c>
      <c r="M11" s="9"/>
      <c r="N11" s="9">
        <v>1</v>
      </c>
      <c r="O11" s="9">
        <v>3</v>
      </c>
      <c r="P11" s="9"/>
      <c r="Q11" s="9"/>
      <c r="R11" s="9">
        <v>1</v>
      </c>
      <c r="S11" s="9">
        <v>7</v>
      </c>
      <c r="T11" s="13">
        <v>12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3" ht="15">
      <c r="B12" s="22">
        <v>1996</v>
      </c>
      <c r="C12" s="23">
        <v>8020</v>
      </c>
      <c r="D12" s="23">
        <v>12000</v>
      </c>
      <c r="E12" s="23">
        <v>26810</v>
      </c>
      <c r="F12" s="23">
        <v>16327</v>
      </c>
      <c r="G12" s="23"/>
      <c r="H12" s="23">
        <v>34750</v>
      </c>
      <c r="I12" s="23">
        <v>10425</v>
      </c>
      <c r="J12" s="24">
        <f t="shared" si="0"/>
        <v>108332</v>
      </c>
      <c r="L12" s="10">
        <v>1996</v>
      </c>
      <c r="M12" s="9">
        <v>4</v>
      </c>
      <c r="N12" s="9">
        <v>1</v>
      </c>
      <c r="O12" s="9">
        <v>12</v>
      </c>
      <c r="P12" s="9">
        <v>4</v>
      </c>
      <c r="Q12" s="9"/>
      <c r="R12" s="9">
        <v>2</v>
      </c>
      <c r="S12" s="9">
        <v>5</v>
      </c>
      <c r="T12" s="13">
        <v>28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3" ht="15">
      <c r="B13" s="22">
        <v>1997</v>
      </c>
      <c r="C13" s="23"/>
      <c r="D13" s="23">
        <v>150</v>
      </c>
      <c r="E13" s="23">
        <v>23025</v>
      </c>
      <c r="F13" s="23"/>
      <c r="G13" s="23">
        <v>18137</v>
      </c>
      <c r="H13" s="23">
        <v>725</v>
      </c>
      <c r="I13" s="23"/>
      <c r="J13" s="24">
        <f t="shared" si="0"/>
        <v>42037</v>
      </c>
      <c r="L13" s="10">
        <v>1997</v>
      </c>
      <c r="M13" s="9"/>
      <c r="N13" s="9">
        <v>1</v>
      </c>
      <c r="O13" s="9">
        <v>4</v>
      </c>
      <c r="P13" s="9"/>
      <c r="Q13" s="9">
        <v>3</v>
      </c>
      <c r="R13" s="9">
        <v>2</v>
      </c>
      <c r="S13" s="9"/>
      <c r="T13" s="13">
        <v>10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33" ht="15">
      <c r="B14" s="22">
        <v>1998</v>
      </c>
      <c r="C14" s="23">
        <v>12690</v>
      </c>
      <c r="D14" s="23">
        <v>4735</v>
      </c>
      <c r="E14" s="23">
        <v>10680</v>
      </c>
      <c r="F14" s="23">
        <v>26700</v>
      </c>
      <c r="G14" s="23"/>
      <c r="H14" s="23">
        <v>23720</v>
      </c>
      <c r="I14" s="23"/>
      <c r="J14" s="24">
        <f t="shared" si="0"/>
        <v>78525</v>
      </c>
      <c r="L14" s="10">
        <v>1998</v>
      </c>
      <c r="M14" s="9">
        <v>1</v>
      </c>
      <c r="N14" s="9">
        <v>1</v>
      </c>
      <c r="O14" s="9">
        <v>2</v>
      </c>
      <c r="P14" s="9">
        <v>7</v>
      </c>
      <c r="Q14" s="9"/>
      <c r="R14" s="9">
        <v>5</v>
      </c>
      <c r="S14" s="9"/>
      <c r="T14" s="13">
        <v>16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2:33" ht="15">
      <c r="B15" s="22">
        <v>1999</v>
      </c>
      <c r="C15" s="23">
        <v>2350</v>
      </c>
      <c r="D15" s="23">
        <v>42355</v>
      </c>
      <c r="E15" s="23">
        <v>68075</v>
      </c>
      <c r="F15" s="23">
        <v>2790</v>
      </c>
      <c r="G15" s="23">
        <v>8815</v>
      </c>
      <c r="H15" s="23">
        <v>4265</v>
      </c>
      <c r="I15" s="23">
        <v>47428</v>
      </c>
      <c r="J15" s="24">
        <f t="shared" si="0"/>
        <v>176078</v>
      </c>
      <c r="L15" s="10">
        <v>1999</v>
      </c>
      <c r="M15" s="9">
        <v>2</v>
      </c>
      <c r="N15" s="9">
        <v>15</v>
      </c>
      <c r="O15" s="9">
        <v>23</v>
      </c>
      <c r="P15" s="9">
        <v>4</v>
      </c>
      <c r="Q15" s="9"/>
      <c r="R15" s="9">
        <v>9</v>
      </c>
      <c r="S15" s="9">
        <v>15</v>
      </c>
      <c r="T15" s="13">
        <v>68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3" ht="15">
      <c r="B16" s="20">
        <v>2000</v>
      </c>
      <c r="C16" s="21">
        <v>87091</v>
      </c>
      <c r="D16" s="21">
        <v>285044</v>
      </c>
      <c r="E16" s="21">
        <v>101585</v>
      </c>
      <c r="F16" s="21">
        <v>105921</v>
      </c>
      <c r="G16" s="21">
        <v>91536</v>
      </c>
      <c r="H16" s="21">
        <v>68040</v>
      </c>
      <c r="I16" s="21">
        <v>443194</v>
      </c>
      <c r="J16" s="11">
        <f t="shared" si="0"/>
        <v>1182411</v>
      </c>
      <c r="L16" s="10">
        <v>2000</v>
      </c>
      <c r="M16" s="9">
        <v>21</v>
      </c>
      <c r="N16" s="9">
        <v>64</v>
      </c>
      <c r="O16" s="9">
        <v>119</v>
      </c>
      <c r="P16" s="9">
        <v>102</v>
      </c>
      <c r="Q16" s="9">
        <v>49</v>
      </c>
      <c r="R16" s="9">
        <v>42</v>
      </c>
      <c r="S16" s="9">
        <v>72</v>
      </c>
      <c r="T16" s="13">
        <v>469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3" ht="15">
      <c r="B17" s="20">
        <v>2001</v>
      </c>
      <c r="C17" s="21">
        <v>2940</v>
      </c>
      <c r="D17" s="21">
        <v>109048</v>
      </c>
      <c r="E17" s="21">
        <v>62680</v>
      </c>
      <c r="F17" s="21">
        <v>79708</v>
      </c>
      <c r="G17" s="21">
        <v>22150</v>
      </c>
      <c r="H17" s="21">
        <v>24820</v>
      </c>
      <c r="I17" s="21">
        <v>97743</v>
      </c>
      <c r="J17" s="11">
        <f t="shared" si="0"/>
        <v>399089</v>
      </c>
      <c r="L17" s="10">
        <v>2001</v>
      </c>
      <c r="M17" s="9">
        <v>11</v>
      </c>
      <c r="N17" s="9">
        <v>48</v>
      </c>
      <c r="O17" s="9">
        <v>78</v>
      </c>
      <c r="P17" s="9">
        <v>99</v>
      </c>
      <c r="Q17" s="9">
        <v>24</v>
      </c>
      <c r="R17" s="9">
        <v>17</v>
      </c>
      <c r="S17" s="9">
        <v>34</v>
      </c>
      <c r="T17" s="13">
        <v>311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ht="15">
      <c r="B18" s="20">
        <v>2002</v>
      </c>
      <c r="C18" s="21">
        <v>8440</v>
      </c>
      <c r="D18" s="21">
        <v>69915</v>
      </c>
      <c r="E18" s="21">
        <v>80107</v>
      </c>
      <c r="F18" s="21">
        <v>82170</v>
      </c>
      <c r="G18" s="21">
        <v>24595</v>
      </c>
      <c r="H18" s="21">
        <v>13260</v>
      </c>
      <c r="I18" s="21">
        <v>117613</v>
      </c>
      <c r="J18" s="11">
        <f t="shared" si="0"/>
        <v>396100</v>
      </c>
      <c r="L18" s="10">
        <v>2002</v>
      </c>
      <c r="M18" s="9">
        <v>22</v>
      </c>
      <c r="N18" s="9">
        <v>63</v>
      </c>
      <c r="O18" s="9">
        <v>84</v>
      </c>
      <c r="P18" s="9">
        <v>106</v>
      </c>
      <c r="Q18" s="9">
        <v>11</v>
      </c>
      <c r="R18" s="9">
        <v>22</v>
      </c>
      <c r="S18" s="9">
        <v>46</v>
      </c>
      <c r="T18" s="13">
        <v>354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ht="15">
      <c r="B19" s="20">
        <v>2003</v>
      </c>
      <c r="C19" s="21">
        <v>14715</v>
      </c>
      <c r="D19" s="21">
        <v>117231</v>
      </c>
      <c r="E19" s="21">
        <v>80320</v>
      </c>
      <c r="F19" s="21">
        <v>43013</v>
      </c>
      <c r="G19" s="21">
        <v>19783</v>
      </c>
      <c r="H19" s="21">
        <v>47795</v>
      </c>
      <c r="I19" s="21">
        <v>303803</v>
      </c>
      <c r="J19" s="11">
        <f t="shared" si="0"/>
        <v>626660</v>
      </c>
      <c r="L19" s="10">
        <v>2003</v>
      </c>
      <c r="M19" s="9">
        <v>19</v>
      </c>
      <c r="N19" s="9">
        <v>64</v>
      </c>
      <c r="O19" s="9">
        <v>80</v>
      </c>
      <c r="P19" s="9">
        <v>69</v>
      </c>
      <c r="Q19" s="9">
        <v>10</v>
      </c>
      <c r="R19" s="9">
        <v>39</v>
      </c>
      <c r="S19" s="9">
        <v>38</v>
      </c>
      <c r="T19" s="13">
        <v>319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ht="15">
      <c r="B20" s="20">
        <v>2004</v>
      </c>
      <c r="C20" s="21">
        <v>6235</v>
      </c>
      <c r="D20" s="21">
        <v>77449</v>
      </c>
      <c r="E20" s="21">
        <v>62366</v>
      </c>
      <c r="F20" s="21">
        <v>127784</v>
      </c>
      <c r="G20" s="21">
        <v>22500</v>
      </c>
      <c r="H20" s="21">
        <v>40706</v>
      </c>
      <c r="I20" s="21">
        <v>128375</v>
      </c>
      <c r="J20" s="11">
        <f t="shared" si="0"/>
        <v>465415</v>
      </c>
      <c r="L20" s="10">
        <v>2004</v>
      </c>
      <c r="M20" s="9">
        <v>22</v>
      </c>
      <c r="N20" s="9">
        <v>80</v>
      </c>
      <c r="O20" s="9">
        <v>93</v>
      </c>
      <c r="P20" s="9">
        <v>123</v>
      </c>
      <c r="Q20" s="9">
        <v>24</v>
      </c>
      <c r="R20" s="9">
        <v>54</v>
      </c>
      <c r="S20" s="9">
        <v>70</v>
      </c>
      <c r="T20" s="13">
        <v>466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ht="15">
      <c r="B21" s="20">
        <v>2005</v>
      </c>
      <c r="C21" s="21">
        <v>16960</v>
      </c>
      <c r="D21" s="21">
        <v>114210</v>
      </c>
      <c r="E21" s="21">
        <v>88946</v>
      </c>
      <c r="F21" s="21">
        <v>51094</v>
      </c>
      <c r="G21" s="21">
        <v>24805</v>
      </c>
      <c r="H21" s="21">
        <v>30380</v>
      </c>
      <c r="I21" s="21">
        <v>60269</v>
      </c>
      <c r="J21" s="11">
        <f t="shared" si="0"/>
        <v>386664</v>
      </c>
      <c r="L21" s="10">
        <v>2005</v>
      </c>
      <c r="M21" s="9">
        <v>28</v>
      </c>
      <c r="N21" s="9">
        <v>64</v>
      </c>
      <c r="O21" s="9">
        <v>87</v>
      </c>
      <c r="P21" s="9">
        <v>82</v>
      </c>
      <c r="Q21" s="9">
        <v>16</v>
      </c>
      <c r="R21" s="9">
        <v>33</v>
      </c>
      <c r="S21" s="9">
        <v>47</v>
      </c>
      <c r="T21" s="13">
        <v>357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ht="15">
      <c r="B22" s="20">
        <v>2006</v>
      </c>
      <c r="C22" s="21">
        <v>12985</v>
      </c>
      <c r="D22" s="21">
        <v>139977</v>
      </c>
      <c r="E22" s="21">
        <v>68122</v>
      </c>
      <c r="F22" s="21">
        <v>57155</v>
      </c>
      <c r="G22" s="21">
        <v>34370</v>
      </c>
      <c r="H22" s="21">
        <v>15550</v>
      </c>
      <c r="I22" s="21">
        <v>166368</v>
      </c>
      <c r="J22" s="11">
        <f t="shared" si="0"/>
        <v>494527</v>
      </c>
      <c r="L22" s="10">
        <v>2006</v>
      </c>
      <c r="M22" s="9">
        <v>17</v>
      </c>
      <c r="N22" s="9">
        <v>61</v>
      </c>
      <c r="O22" s="9">
        <v>110</v>
      </c>
      <c r="P22" s="9">
        <v>67</v>
      </c>
      <c r="Q22" s="9">
        <v>20</v>
      </c>
      <c r="R22" s="9">
        <v>14</v>
      </c>
      <c r="S22" s="9">
        <v>59</v>
      </c>
      <c r="T22" s="13">
        <v>348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2:33" ht="15">
      <c r="B23" s="20">
        <v>2007</v>
      </c>
      <c r="C23" s="21">
        <v>11565</v>
      </c>
      <c r="D23" s="21">
        <v>102010</v>
      </c>
      <c r="E23" s="21">
        <v>82395</v>
      </c>
      <c r="F23" s="21">
        <v>91135</v>
      </c>
      <c r="G23" s="21">
        <v>52132</v>
      </c>
      <c r="H23" s="21">
        <v>26395</v>
      </c>
      <c r="I23" s="21">
        <v>154705</v>
      </c>
      <c r="J23" s="11">
        <f t="shared" si="0"/>
        <v>520337</v>
      </c>
      <c r="L23" s="10">
        <v>2007</v>
      </c>
      <c r="M23" s="9">
        <v>16</v>
      </c>
      <c r="N23" s="9">
        <v>72</v>
      </c>
      <c r="O23" s="9">
        <v>92</v>
      </c>
      <c r="P23" s="9">
        <v>106</v>
      </c>
      <c r="Q23" s="9">
        <v>18</v>
      </c>
      <c r="R23" s="9">
        <v>22</v>
      </c>
      <c r="S23" s="9">
        <v>63</v>
      </c>
      <c r="T23" s="13">
        <v>389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ht="15">
      <c r="B24" s="20">
        <v>2008</v>
      </c>
      <c r="C24" s="21">
        <v>496685</v>
      </c>
      <c r="D24" s="21">
        <v>58470</v>
      </c>
      <c r="E24" s="21">
        <v>84552</v>
      </c>
      <c r="F24" s="21">
        <v>13720</v>
      </c>
      <c r="G24" s="21">
        <v>18750</v>
      </c>
      <c r="H24" s="21">
        <v>25195</v>
      </c>
      <c r="I24" s="21">
        <v>152075</v>
      </c>
      <c r="J24" s="11">
        <f t="shared" si="0"/>
        <v>849447</v>
      </c>
      <c r="L24" s="10">
        <v>2008</v>
      </c>
      <c r="M24" s="9">
        <v>217</v>
      </c>
      <c r="N24" s="9">
        <v>57</v>
      </c>
      <c r="O24" s="9">
        <v>60</v>
      </c>
      <c r="P24" s="9">
        <v>32</v>
      </c>
      <c r="Q24" s="9">
        <v>22</v>
      </c>
      <c r="R24" s="9">
        <v>15</v>
      </c>
      <c r="S24" s="9">
        <v>54</v>
      </c>
      <c r="T24" s="13">
        <v>457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2:33" ht="15">
      <c r="B25" s="20">
        <v>2009</v>
      </c>
      <c r="C25" s="21">
        <v>91996</v>
      </c>
      <c r="D25" s="21">
        <v>76850</v>
      </c>
      <c r="E25" s="21">
        <v>46329</v>
      </c>
      <c r="F25" s="21">
        <v>43255</v>
      </c>
      <c r="G25" s="21">
        <v>11585</v>
      </c>
      <c r="H25" s="21">
        <v>21185</v>
      </c>
      <c r="I25" s="21">
        <v>81345</v>
      </c>
      <c r="J25" s="11">
        <f t="shared" si="0"/>
        <v>372545</v>
      </c>
      <c r="L25" s="10">
        <v>2009</v>
      </c>
      <c r="M25" s="9">
        <v>101</v>
      </c>
      <c r="N25" s="9">
        <v>66</v>
      </c>
      <c r="O25" s="9">
        <v>60</v>
      </c>
      <c r="P25" s="9">
        <v>29</v>
      </c>
      <c r="Q25" s="9">
        <v>20</v>
      </c>
      <c r="R25" s="9">
        <v>21</v>
      </c>
      <c r="S25" s="9">
        <v>46</v>
      </c>
      <c r="T25" s="13">
        <v>343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ht="15">
      <c r="B26" s="20">
        <v>2010</v>
      </c>
      <c r="C26" s="21">
        <v>17850</v>
      </c>
      <c r="D26" s="21">
        <v>84145</v>
      </c>
      <c r="E26" s="21">
        <v>52450</v>
      </c>
      <c r="F26" s="21">
        <v>21095</v>
      </c>
      <c r="G26" s="21">
        <v>20620</v>
      </c>
      <c r="H26" s="21">
        <v>48109</v>
      </c>
      <c r="I26" s="21">
        <v>121559</v>
      </c>
      <c r="J26" s="11">
        <f t="shared" si="0"/>
        <v>365828</v>
      </c>
      <c r="L26" s="10">
        <v>2010</v>
      </c>
      <c r="M26" s="9">
        <v>31</v>
      </c>
      <c r="N26" s="9">
        <v>77</v>
      </c>
      <c r="O26" s="9">
        <v>104</v>
      </c>
      <c r="P26" s="9">
        <v>42</v>
      </c>
      <c r="Q26" s="9">
        <v>21</v>
      </c>
      <c r="R26" s="9">
        <v>32</v>
      </c>
      <c r="S26" s="9">
        <v>67</v>
      </c>
      <c r="T26" s="13">
        <v>374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3" ht="15">
      <c r="B27" s="20">
        <v>2011</v>
      </c>
      <c r="C27" s="21">
        <v>12522</v>
      </c>
      <c r="D27" s="21">
        <v>82061</v>
      </c>
      <c r="E27" s="21">
        <v>61379</v>
      </c>
      <c r="F27" s="21">
        <v>37972</v>
      </c>
      <c r="G27" s="21">
        <v>20010</v>
      </c>
      <c r="H27" s="21">
        <v>31370</v>
      </c>
      <c r="I27" s="21">
        <v>105731</v>
      </c>
      <c r="J27" s="11">
        <f t="shared" si="0"/>
        <v>351045</v>
      </c>
      <c r="L27" s="10">
        <v>2011</v>
      </c>
      <c r="M27" s="9">
        <v>5</v>
      </c>
      <c r="N27" s="9">
        <v>77</v>
      </c>
      <c r="O27" s="9">
        <v>80</v>
      </c>
      <c r="P27" s="9">
        <v>47</v>
      </c>
      <c r="Q27" s="9">
        <v>22</v>
      </c>
      <c r="R27" s="9">
        <v>42</v>
      </c>
      <c r="S27" s="9">
        <v>86</v>
      </c>
      <c r="T27" s="13">
        <v>359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2:33" ht="15">
      <c r="B28" s="20">
        <v>2012</v>
      </c>
      <c r="C28" s="21">
        <v>7510</v>
      </c>
      <c r="D28" s="21">
        <v>42515</v>
      </c>
      <c r="E28" s="21">
        <v>63523</v>
      </c>
      <c r="F28" s="21">
        <v>21025</v>
      </c>
      <c r="G28" s="21">
        <v>7441</v>
      </c>
      <c r="H28" s="21">
        <v>16128</v>
      </c>
      <c r="I28" s="21">
        <v>104255</v>
      </c>
      <c r="J28" s="11">
        <f t="shared" si="0"/>
        <v>262397</v>
      </c>
      <c r="L28" s="10">
        <v>2012</v>
      </c>
      <c r="M28" s="9">
        <v>9</v>
      </c>
      <c r="N28" s="9">
        <v>54</v>
      </c>
      <c r="O28" s="9">
        <v>97</v>
      </c>
      <c r="P28" s="9">
        <v>32</v>
      </c>
      <c r="Q28" s="9">
        <v>14</v>
      </c>
      <c r="R28" s="9">
        <v>18</v>
      </c>
      <c r="S28" s="9">
        <v>83</v>
      </c>
      <c r="T28" s="13">
        <v>307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3" ht="15">
      <c r="B29" s="20">
        <v>2013</v>
      </c>
      <c r="C29" s="21">
        <v>1260</v>
      </c>
      <c r="D29" s="21">
        <v>54155</v>
      </c>
      <c r="E29" s="21">
        <v>57710</v>
      </c>
      <c r="F29" s="21">
        <v>13470</v>
      </c>
      <c r="G29" s="21">
        <v>25510</v>
      </c>
      <c r="H29" s="21">
        <v>83020</v>
      </c>
      <c r="I29" s="21">
        <v>146310</v>
      </c>
      <c r="J29" s="11">
        <f t="shared" si="0"/>
        <v>381435</v>
      </c>
      <c r="L29" s="10">
        <v>2013</v>
      </c>
      <c r="M29" s="9">
        <v>4</v>
      </c>
      <c r="N29" s="9">
        <v>39</v>
      </c>
      <c r="O29" s="9">
        <v>76</v>
      </c>
      <c r="P29" s="9">
        <v>29</v>
      </c>
      <c r="Q29" s="9">
        <v>11</v>
      </c>
      <c r="R29" s="9">
        <v>20</v>
      </c>
      <c r="S29" s="9">
        <v>76</v>
      </c>
      <c r="T29" s="13">
        <v>255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2:33" ht="15">
      <c r="B30" s="20">
        <v>2014</v>
      </c>
      <c r="C30" s="21">
        <v>17535</v>
      </c>
      <c r="D30" s="21">
        <v>34490</v>
      </c>
      <c r="E30" s="21">
        <v>112920</v>
      </c>
      <c r="F30" s="21">
        <v>31984</v>
      </c>
      <c r="G30" s="21">
        <v>17262</v>
      </c>
      <c r="H30" s="21">
        <v>25730</v>
      </c>
      <c r="I30" s="21">
        <v>105350</v>
      </c>
      <c r="J30" s="11">
        <f>SUM(C30:I30)</f>
        <v>345271</v>
      </c>
      <c r="L30" s="10">
        <v>2014</v>
      </c>
      <c r="M30" s="9">
        <v>14</v>
      </c>
      <c r="N30" s="9">
        <v>24</v>
      </c>
      <c r="O30" s="9">
        <v>68</v>
      </c>
      <c r="P30" s="9">
        <v>24</v>
      </c>
      <c r="Q30" s="9">
        <v>11</v>
      </c>
      <c r="R30" s="9">
        <v>21</v>
      </c>
      <c r="S30" s="9">
        <v>50</v>
      </c>
      <c r="T30" s="13">
        <v>212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2:33" ht="15">
      <c r="B31" s="20">
        <v>2015</v>
      </c>
      <c r="C31" s="21">
        <v>2300</v>
      </c>
      <c r="D31" s="21">
        <v>32065</v>
      </c>
      <c r="E31" s="21">
        <v>43417</v>
      </c>
      <c r="F31" s="21">
        <v>46347</v>
      </c>
      <c r="G31" s="21">
        <v>31288</v>
      </c>
      <c r="H31" s="21">
        <v>17897</v>
      </c>
      <c r="I31" s="21">
        <v>36092</v>
      </c>
      <c r="J31" s="11">
        <f>SUM(C31:I31)</f>
        <v>209406</v>
      </c>
      <c r="L31" s="10"/>
      <c r="M31" s="9"/>
      <c r="N31" s="9"/>
      <c r="O31" s="9"/>
      <c r="P31" s="9"/>
      <c r="Q31" s="9"/>
      <c r="R31" s="9"/>
      <c r="S31" s="9"/>
      <c r="T31" s="1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2:33" ht="15">
      <c r="B32" s="20"/>
      <c r="C32" s="21"/>
      <c r="D32" s="21"/>
      <c r="E32" s="21"/>
      <c r="F32" s="21"/>
      <c r="G32" s="21"/>
      <c r="H32" s="21"/>
      <c r="I32" s="21"/>
      <c r="J32" s="11"/>
      <c r="L32" s="10"/>
      <c r="M32" s="9"/>
      <c r="N32" s="9"/>
      <c r="O32" s="9"/>
      <c r="P32" s="9"/>
      <c r="Q32" s="9"/>
      <c r="R32" s="9"/>
      <c r="S32" s="9"/>
      <c r="T32" s="1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3" ht="15.75">
      <c r="B33" s="6" t="s">
        <v>9</v>
      </c>
      <c r="C33" s="16">
        <f>SUM(C5:C32)</f>
        <v>831649</v>
      </c>
      <c r="D33" s="16">
        <f t="shared" ref="D33:I33" si="1">SUM(D5:D32)</f>
        <v>1563655</v>
      </c>
      <c r="E33" s="16">
        <f t="shared" si="1"/>
        <v>1292866</v>
      </c>
      <c r="F33" s="16">
        <f t="shared" si="1"/>
        <v>914715</v>
      </c>
      <c r="G33" s="16">
        <f t="shared" si="1"/>
        <v>487989</v>
      </c>
      <c r="H33" s="16">
        <f t="shared" si="1"/>
        <v>638570</v>
      </c>
      <c r="I33" s="16">
        <f t="shared" si="1"/>
        <v>2488952</v>
      </c>
      <c r="J33" s="12">
        <f>SUM(C33:I33)</f>
        <v>8218396</v>
      </c>
      <c r="L33" s="6" t="s">
        <v>9</v>
      </c>
      <c r="M33" s="15">
        <v>544</v>
      </c>
      <c r="N33" s="15">
        <v>932</v>
      </c>
      <c r="O33" s="15">
        <v>1335</v>
      </c>
      <c r="P33" s="15">
        <v>1011</v>
      </c>
      <c r="Q33" s="15">
        <v>298</v>
      </c>
      <c r="R33" s="15">
        <v>446</v>
      </c>
      <c r="S33" s="15">
        <v>922</v>
      </c>
      <c r="T33" s="14">
        <v>5488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>
      <c r="C34" s="2"/>
      <c r="J34" s="2">
        <f>SUM(J5:J32)</f>
        <v>8218396</v>
      </c>
    </row>
  </sheetData>
  <pageMargins left="0.7" right="0.7" top="0.75" bottom="0.75" header="0.3" footer="0.3"/>
  <pageSetup paperSize="9" orientation="portrait" horizontalDpi="0" verticalDpi="0" r:id="rId1"/>
  <ignoredErrors>
    <ignoredError sqref="J5:J3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/>
  <dimension ref="B2:AG34"/>
  <sheetViews>
    <sheetView zoomScale="85" zoomScaleNormal="85" workbookViewId="0">
      <selection activeCell="B2" sqref="B2"/>
    </sheetView>
  </sheetViews>
  <sheetFormatPr baseColWidth="10" defaultRowHeight="12.75" outlineLevelCol="1"/>
  <cols>
    <col min="1" max="1" width="2.140625" customWidth="1"/>
    <col min="2" max="3" width="9.85546875" customWidth="1"/>
    <col min="4" max="9" width="10" style="2" customWidth="1"/>
    <col min="10" max="10" width="13.7109375" style="2" bestFit="1" customWidth="1"/>
    <col min="11" max="11" width="5.5703125" customWidth="1"/>
    <col min="12" max="12" width="9.85546875" hidden="1" customWidth="1" outlineLevel="1"/>
    <col min="13" max="20" width="5.7109375" hidden="1" customWidth="1" outlineLevel="1"/>
    <col min="21" max="21" width="5.85546875" customWidth="1" collapsed="1"/>
  </cols>
  <sheetData>
    <row r="2" spans="2:33" ht="18">
      <c r="B2" s="7" t="s">
        <v>11</v>
      </c>
      <c r="I2" s="2" t="s">
        <v>12</v>
      </c>
      <c r="L2" s="7"/>
      <c r="V2" s="19" t="s">
        <v>13</v>
      </c>
    </row>
    <row r="3" spans="2:33" ht="18">
      <c r="B3" s="7"/>
      <c r="L3" s="7"/>
    </row>
    <row r="4" spans="2:33">
      <c r="B4" s="4" t="s">
        <v>0</v>
      </c>
      <c r="C4" s="17" t="s">
        <v>7</v>
      </c>
      <c r="D4" s="17" t="s">
        <v>3</v>
      </c>
      <c r="E4" s="17" t="s">
        <v>6</v>
      </c>
      <c r="F4" s="17" t="s">
        <v>5</v>
      </c>
      <c r="G4" s="17" t="s">
        <v>4</v>
      </c>
      <c r="H4" s="17" t="s">
        <v>2</v>
      </c>
      <c r="I4" s="17" t="s">
        <v>1</v>
      </c>
      <c r="J4" s="8"/>
      <c r="L4" s="3" t="s">
        <v>8</v>
      </c>
      <c r="M4" s="17" t="s">
        <v>7</v>
      </c>
      <c r="N4" s="17" t="s">
        <v>3</v>
      </c>
      <c r="O4" s="17" t="s">
        <v>6</v>
      </c>
      <c r="P4" s="17" t="s">
        <v>5</v>
      </c>
      <c r="Q4" s="17" t="s">
        <v>4</v>
      </c>
      <c r="R4" s="17" t="s">
        <v>2</v>
      </c>
      <c r="S4" s="17" t="s">
        <v>1</v>
      </c>
      <c r="T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 ht="15">
      <c r="B5" s="22">
        <v>1989</v>
      </c>
      <c r="C5" s="23"/>
      <c r="D5" s="23"/>
      <c r="E5" s="23"/>
      <c r="F5" s="23"/>
      <c r="G5" s="23"/>
      <c r="H5" s="23"/>
      <c r="I5" s="23"/>
      <c r="J5" s="24">
        <f t="shared" ref="J5:J29" si="0">SUM(C5:I5)</f>
        <v>0</v>
      </c>
      <c r="L5" s="10">
        <v>1989</v>
      </c>
      <c r="M5" s="9"/>
      <c r="N5" s="9"/>
      <c r="O5" s="9"/>
      <c r="P5" s="9"/>
      <c r="Q5" s="9"/>
      <c r="R5" s="9"/>
      <c r="S5" s="9"/>
      <c r="T5" s="13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2:33" ht="15">
      <c r="B6" s="22">
        <v>1990</v>
      </c>
      <c r="C6" s="23"/>
      <c r="D6" s="23"/>
      <c r="E6" s="23"/>
      <c r="F6" s="23"/>
      <c r="G6" s="23"/>
      <c r="H6" s="23"/>
      <c r="I6" s="23"/>
      <c r="J6" s="24">
        <f t="shared" si="0"/>
        <v>0</v>
      </c>
      <c r="L6" s="10">
        <v>1990</v>
      </c>
      <c r="M6" s="9"/>
      <c r="N6" s="9"/>
      <c r="O6" s="9"/>
      <c r="P6" s="9"/>
      <c r="Q6" s="9"/>
      <c r="R6" s="9"/>
      <c r="S6" s="9"/>
      <c r="T6" s="1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3" ht="15">
      <c r="B7" s="22">
        <v>1991</v>
      </c>
      <c r="C7" s="23"/>
      <c r="D7" s="23"/>
      <c r="E7" s="23"/>
      <c r="F7" s="23"/>
      <c r="G7" s="23"/>
      <c r="H7" s="23"/>
      <c r="I7" s="23"/>
      <c r="J7" s="24">
        <f t="shared" si="0"/>
        <v>0</v>
      </c>
      <c r="L7" s="10">
        <v>1991</v>
      </c>
      <c r="M7" s="9"/>
      <c r="N7" s="9"/>
      <c r="O7" s="9"/>
      <c r="P7" s="9"/>
      <c r="Q7" s="9"/>
      <c r="R7" s="9"/>
      <c r="S7" s="9"/>
      <c r="T7" s="13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ht="15">
      <c r="B8" s="22">
        <v>1992</v>
      </c>
      <c r="C8" s="23"/>
      <c r="D8" s="23"/>
      <c r="E8" s="23"/>
      <c r="F8" s="23"/>
      <c r="G8" s="23"/>
      <c r="H8" s="23"/>
      <c r="I8" s="23"/>
      <c r="J8" s="24">
        <f t="shared" si="0"/>
        <v>0</v>
      </c>
      <c r="L8" s="10">
        <v>1992</v>
      </c>
      <c r="M8" s="9"/>
      <c r="N8" s="9"/>
      <c r="O8" s="9"/>
      <c r="P8" s="9"/>
      <c r="Q8" s="9"/>
      <c r="R8" s="9"/>
      <c r="S8" s="9"/>
      <c r="T8" s="13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ht="15">
      <c r="B9" s="22">
        <v>1993</v>
      </c>
      <c r="C9" s="23"/>
      <c r="D9" s="23"/>
      <c r="E9" s="23">
        <v>500</v>
      </c>
      <c r="F9" s="23">
        <v>3000</v>
      </c>
      <c r="G9" s="23"/>
      <c r="H9" s="23">
        <v>2150</v>
      </c>
      <c r="I9" s="23"/>
      <c r="J9" s="24">
        <f t="shared" si="0"/>
        <v>5650</v>
      </c>
      <c r="L9" s="10">
        <v>1993</v>
      </c>
      <c r="M9" s="9"/>
      <c r="N9" s="9"/>
      <c r="O9" s="9">
        <v>1</v>
      </c>
      <c r="P9" s="9">
        <v>1</v>
      </c>
      <c r="Q9" s="9"/>
      <c r="R9" s="9"/>
      <c r="S9" s="9">
        <v>2</v>
      </c>
      <c r="T9" s="13">
        <v>4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3" ht="15">
      <c r="B10" s="22">
        <v>1994</v>
      </c>
      <c r="C10" s="23"/>
      <c r="D10" s="23"/>
      <c r="E10" s="23">
        <v>19630</v>
      </c>
      <c r="F10" s="23">
        <v>5200</v>
      </c>
      <c r="G10" s="23"/>
      <c r="H10" s="23">
        <v>9390</v>
      </c>
      <c r="I10" s="23"/>
      <c r="J10" s="24">
        <f t="shared" si="0"/>
        <v>34220</v>
      </c>
      <c r="L10" s="10">
        <v>1994</v>
      </c>
      <c r="M10" s="9"/>
      <c r="N10" s="9"/>
      <c r="O10" s="9">
        <v>1</v>
      </c>
      <c r="P10" s="9"/>
      <c r="Q10" s="9"/>
      <c r="R10" s="9"/>
      <c r="S10" s="9">
        <v>5</v>
      </c>
      <c r="T10" s="13">
        <v>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3" ht="15">
      <c r="B11" s="22">
        <v>1995</v>
      </c>
      <c r="C11" s="23"/>
      <c r="D11" s="23"/>
      <c r="E11" s="23"/>
      <c r="F11" s="23"/>
      <c r="G11" s="23"/>
      <c r="H11" s="23">
        <v>385</v>
      </c>
      <c r="I11" s="23"/>
      <c r="J11" s="24">
        <f t="shared" si="0"/>
        <v>385</v>
      </c>
      <c r="L11" s="10">
        <v>1995</v>
      </c>
      <c r="M11" s="9"/>
      <c r="N11" s="9"/>
      <c r="O11" s="9"/>
      <c r="P11" s="9"/>
      <c r="Q11" s="9"/>
      <c r="R11" s="9"/>
      <c r="S11" s="9">
        <v>2</v>
      </c>
      <c r="T11" s="13">
        <v>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3" ht="15">
      <c r="B12" s="22">
        <v>1996</v>
      </c>
      <c r="C12" s="23"/>
      <c r="D12" s="23"/>
      <c r="E12" s="23"/>
      <c r="F12" s="23"/>
      <c r="G12" s="23"/>
      <c r="H12" s="23"/>
      <c r="I12" s="23"/>
      <c r="J12" s="24">
        <f t="shared" si="0"/>
        <v>0</v>
      </c>
      <c r="L12" s="10">
        <v>1996</v>
      </c>
      <c r="M12" s="9"/>
      <c r="N12" s="9"/>
      <c r="O12" s="9"/>
      <c r="P12" s="9"/>
      <c r="Q12" s="9"/>
      <c r="R12" s="9"/>
      <c r="S12" s="9"/>
      <c r="T12" s="1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3" ht="15">
      <c r="B13" s="22">
        <v>1997</v>
      </c>
      <c r="C13" s="23"/>
      <c r="D13" s="23"/>
      <c r="E13" s="23">
        <v>1100</v>
      </c>
      <c r="F13" s="23"/>
      <c r="G13" s="23"/>
      <c r="H13" s="23"/>
      <c r="I13" s="23"/>
      <c r="J13" s="24">
        <f t="shared" si="0"/>
        <v>1100</v>
      </c>
      <c r="L13" s="10">
        <v>1997</v>
      </c>
      <c r="M13" s="9"/>
      <c r="N13" s="9"/>
      <c r="O13" s="9">
        <v>1</v>
      </c>
      <c r="P13" s="9"/>
      <c r="Q13" s="9"/>
      <c r="R13" s="9"/>
      <c r="S13" s="9"/>
      <c r="T13" s="13">
        <v>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33" ht="15">
      <c r="B14" s="22">
        <v>1998</v>
      </c>
      <c r="C14" s="23"/>
      <c r="D14" s="23"/>
      <c r="E14" s="23"/>
      <c r="F14" s="23"/>
      <c r="G14" s="23"/>
      <c r="H14" s="23"/>
      <c r="I14" s="23"/>
      <c r="J14" s="24">
        <f t="shared" si="0"/>
        <v>0</v>
      </c>
      <c r="L14" s="10">
        <v>1998</v>
      </c>
      <c r="M14" s="9"/>
      <c r="N14" s="9"/>
      <c r="O14" s="9"/>
      <c r="P14" s="9"/>
      <c r="Q14" s="9"/>
      <c r="R14" s="9"/>
      <c r="S14" s="9"/>
      <c r="T14" s="1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2:33" ht="15">
      <c r="B15" s="22">
        <v>1999</v>
      </c>
      <c r="C15" s="23">
        <v>36000</v>
      </c>
      <c r="D15" s="23">
        <v>4000</v>
      </c>
      <c r="E15" s="23">
        <v>1905</v>
      </c>
      <c r="F15" s="23"/>
      <c r="G15" s="23">
        <v>5975</v>
      </c>
      <c r="H15" s="23">
        <v>1120</v>
      </c>
      <c r="I15" s="23"/>
      <c r="J15" s="24">
        <f t="shared" si="0"/>
        <v>49000</v>
      </c>
      <c r="L15" s="10">
        <v>1999</v>
      </c>
      <c r="M15" s="9">
        <v>2</v>
      </c>
      <c r="N15" s="9">
        <v>1</v>
      </c>
      <c r="O15" s="9">
        <v>2</v>
      </c>
      <c r="P15" s="9"/>
      <c r="Q15" s="9">
        <v>1</v>
      </c>
      <c r="R15" s="9"/>
      <c r="S15" s="9">
        <v>1</v>
      </c>
      <c r="T15" s="13">
        <v>7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3" ht="15">
      <c r="B16" s="20">
        <v>2000</v>
      </c>
      <c r="C16" s="21">
        <v>13660</v>
      </c>
      <c r="D16" s="21">
        <v>24776</v>
      </c>
      <c r="E16" s="21">
        <v>11220</v>
      </c>
      <c r="F16" s="21">
        <v>14125</v>
      </c>
      <c r="G16" s="21">
        <v>9800</v>
      </c>
      <c r="H16" s="21">
        <v>3391</v>
      </c>
      <c r="I16" s="21">
        <v>11040</v>
      </c>
      <c r="J16" s="11">
        <f t="shared" si="0"/>
        <v>88012</v>
      </c>
      <c r="L16" s="10">
        <v>2000</v>
      </c>
      <c r="M16" s="9">
        <v>13</v>
      </c>
      <c r="N16" s="9">
        <v>16</v>
      </c>
      <c r="O16" s="9">
        <v>9</v>
      </c>
      <c r="P16" s="9">
        <v>2</v>
      </c>
      <c r="Q16" s="9">
        <v>2</v>
      </c>
      <c r="R16" s="9">
        <v>7</v>
      </c>
      <c r="S16" s="9">
        <v>6</v>
      </c>
      <c r="T16" s="13">
        <v>55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3" ht="15">
      <c r="B17" s="20">
        <v>2001</v>
      </c>
      <c r="C17" s="21">
        <v>9905</v>
      </c>
      <c r="D17" s="21">
        <v>24750</v>
      </c>
      <c r="E17" s="21">
        <v>14670</v>
      </c>
      <c r="F17" s="21">
        <v>17745</v>
      </c>
      <c r="G17" s="21">
        <v>1880</v>
      </c>
      <c r="H17" s="21">
        <v>12208</v>
      </c>
      <c r="I17" s="21">
        <v>14210</v>
      </c>
      <c r="J17" s="11">
        <f t="shared" si="0"/>
        <v>95368</v>
      </c>
      <c r="L17" s="10">
        <v>2001</v>
      </c>
      <c r="M17" s="9">
        <v>20</v>
      </c>
      <c r="N17" s="9">
        <v>29</v>
      </c>
      <c r="O17" s="9">
        <v>27</v>
      </c>
      <c r="P17" s="9">
        <v>40</v>
      </c>
      <c r="Q17" s="9">
        <v>5</v>
      </c>
      <c r="R17" s="9">
        <v>12</v>
      </c>
      <c r="S17" s="9">
        <v>19</v>
      </c>
      <c r="T17" s="13">
        <v>152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ht="15">
      <c r="B18" s="20">
        <v>2002</v>
      </c>
      <c r="C18" s="21">
        <v>912</v>
      </c>
      <c r="D18" s="21">
        <v>50690</v>
      </c>
      <c r="E18" s="21">
        <v>47660</v>
      </c>
      <c r="F18" s="21">
        <v>24980</v>
      </c>
      <c r="G18" s="21">
        <v>720</v>
      </c>
      <c r="H18" s="21">
        <v>13655</v>
      </c>
      <c r="I18" s="21">
        <v>74995</v>
      </c>
      <c r="J18" s="11">
        <f t="shared" si="0"/>
        <v>213612</v>
      </c>
      <c r="L18" s="10">
        <v>2002</v>
      </c>
      <c r="M18" s="9">
        <v>9</v>
      </c>
      <c r="N18" s="9">
        <v>24</v>
      </c>
      <c r="O18" s="9">
        <v>58</v>
      </c>
      <c r="P18" s="9">
        <v>36</v>
      </c>
      <c r="Q18" s="9">
        <v>2</v>
      </c>
      <c r="R18" s="9">
        <v>44</v>
      </c>
      <c r="S18" s="9">
        <v>27</v>
      </c>
      <c r="T18" s="13">
        <v>200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ht="15">
      <c r="B19" s="20">
        <v>2003</v>
      </c>
      <c r="C19" s="21">
        <v>820</v>
      </c>
      <c r="D19" s="21">
        <v>28220</v>
      </c>
      <c r="E19" s="21">
        <v>33595</v>
      </c>
      <c r="F19" s="21">
        <v>9720</v>
      </c>
      <c r="G19" s="21">
        <v>1960</v>
      </c>
      <c r="H19" s="21">
        <v>16316</v>
      </c>
      <c r="I19" s="21">
        <v>19577</v>
      </c>
      <c r="J19" s="11">
        <f t="shared" si="0"/>
        <v>110208</v>
      </c>
      <c r="L19" s="10">
        <v>2003</v>
      </c>
      <c r="M19" s="9">
        <v>6</v>
      </c>
      <c r="N19" s="9">
        <v>23</v>
      </c>
      <c r="O19" s="9">
        <v>53</v>
      </c>
      <c r="P19" s="9">
        <v>20</v>
      </c>
      <c r="Q19" s="9">
        <v>2</v>
      </c>
      <c r="R19" s="9">
        <v>23</v>
      </c>
      <c r="S19" s="9">
        <v>26</v>
      </c>
      <c r="T19" s="13">
        <v>153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ht="15">
      <c r="B20" s="20">
        <v>2004</v>
      </c>
      <c r="C20" s="21">
        <v>2925</v>
      </c>
      <c r="D20" s="21">
        <v>27525</v>
      </c>
      <c r="E20" s="21">
        <v>32635</v>
      </c>
      <c r="F20" s="21">
        <v>30085</v>
      </c>
      <c r="G20" s="21">
        <v>3100</v>
      </c>
      <c r="H20" s="21">
        <v>14725</v>
      </c>
      <c r="I20" s="21">
        <v>65890</v>
      </c>
      <c r="J20" s="11">
        <f t="shared" si="0"/>
        <v>176885</v>
      </c>
      <c r="L20" s="10">
        <v>2004</v>
      </c>
      <c r="M20" s="9">
        <v>15</v>
      </c>
      <c r="N20" s="9">
        <v>34</v>
      </c>
      <c r="O20" s="9">
        <v>47</v>
      </c>
      <c r="P20" s="9">
        <v>31</v>
      </c>
      <c r="Q20" s="9">
        <v>6</v>
      </c>
      <c r="R20" s="9">
        <v>34</v>
      </c>
      <c r="S20" s="9">
        <v>24</v>
      </c>
      <c r="T20" s="13">
        <v>191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ht="15">
      <c r="B21" s="20">
        <v>2005</v>
      </c>
      <c r="C21" s="21">
        <v>5240</v>
      </c>
      <c r="D21" s="21">
        <v>55550</v>
      </c>
      <c r="E21" s="21">
        <v>22163</v>
      </c>
      <c r="F21" s="21">
        <v>27940</v>
      </c>
      <c r="G21" s="21">
        <v>910</v>
      </c>
      <c r="H21" s="21">
        <v>10010</v>
      </c>
      <c r="I21" s="21">
        <v>42920</v>
      </c>
      <c r="J21" s="11">
        <f t="shared" si="0"/>
        <v>164733</v>
      </c>
      <c r="L21" s="10">
        <v>2005</v>
      </c>
      <c r="M21" s="9">
        <v>7</v>
      </c>
      <c r="N21" s="9">
        <v>28</v>
      </c>
      <c r="O21" s="9">
        <v>21</v>
      </c>
      <c r="P21" s="9">
        <v>53</v>
      </c>
      <c r="Q21" s="9">
        <v>3</v>
      </c>
      <c r="R21" s="9">
        <v>32</v>
      </c>
      <c r="S21" s="9">
        <v>27</v>
      </c>
      <c r="T21" s="13">
        <v>171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ht="15">
      <c r="B22" s="20">
        <v>2006</v>
      </c>
      <c r="C22" s="21">
        <v>7920</v>
      </c>
      <c r="D22" s="21">
        <v>78660</v>
      </c>
      <c r="E22" s="21">
        <v>21060</v>
      </c>
      <c r="F22" s="21">
        <v>10080</v>
      </c>
      <c r="G22" s="21">
        <v>1295</v>
      </c>
      <c r="H22" s="21">
        <v>6475</v>
      </c>
      <c r="I22" s="21">
        <v>41625</v>
      </c>
      <c r="J22" s="11">
        <f t="shared" si="0"/>
        <v>167115</v>
      </c>
      <c r="L22" s="10">
        <v>2006</v>
      </c>
      <c r="M22" s="9">
        <v>7</v>
      </c>
      <c r="N22" s="9">
        <v>32</v>
      </c>
      <c r="O22" s="9">
        <v>40</v>
      </c>
      <c r="P22" s="9">
        <v>22</v>
      </c>
      <c r="Q22" s="9">
        <v>8</v>
      </c>
      <c r="R22" s="9">
        <v>28</v>
      </c>
      <c r="S22" s="9">
        <v>20</v>
      </c>
      <c r="T22" s="13">
        <v>157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2:33" ht="15">
      <c r="B23" s="20">
        <v>2007</v>
      </c>
      <c r="C23" s="21">
        <v>12000</v>
      </c>
      <c r="D23" s="21">
        <v>38260</v>
      </c>
      <c r="E23" s="21">
        <v>18350</v>
      </c>
      <c r="F23" s="21">
        <v>13115</v>
      </c>
      <c r="G23" s="21">
        <v>1845</v>
      </c>
      <c r="H23" s="21">
        <v>2940</v>
      </c>
      <c r="I23" s="21">
        <v>29950</v>
      </c>
      <c r="J23" s="11">
        <f t="shared" si="0"/>
        <v>116460</v>
      </c>
      <c r="L23" s="10">
        <v>2007</v>
      </c>
      <c r="M23" s="9">
        <v>5</v>
      </c>
      <c r="N23" s="9">
        <v>32</v>
      </c>
      <c r="O23" s="9">
        <v>22</v>
      </c>
      <c r="P23" s="9">
        <v>23</v>
      </c>
      <c r="Q23" s="9">
        <v>2</v>
      </c>
      <c r="R23" s="9">
        <v>20</v>
      </c>
      <c r="S23" s="9">
        <v>11</v>
      </c>
      <c r="T23" s="13">
        <v>115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ht="15">
      <c r="B24" s="20">
        <v>2008</v>
      </c>
      <c r="C24" s="21">
        <v>1720</v>
      </c>
      <c r="D24" s="21">
        <v>54025</v>
      </c>
      <c r="E24" s="21">
        <v>39665</v>
      </c>
      <c r="F24" s="21">
        <v>28975</v>
      </c>
      <c r="G24" s="21">
        <v>2655</v>
      </c>
      <c r="H24" s="21">
        <v>3785</v>
      </c>
      <c r="I24" s="21">
        <v>68940</v>
      </c>
      <c r="J24" s="11">
        <f t="shared" si="0"/>
        <v>199765</v>
      </c>
      <c r="L24" s="10">
        <v>2008</v>
      </c>
      <c r="M24" s="9">
        <v>4</v>
      </c>
      <c r="N24" s="9">
        <v>58</v>
      </c>
      <c r="O24" s="9">
        <v>42</v>
      </c>
      <c r="P24" s="9">
        <v>39</v>
      </c>
      <c r="Q24" s="9">
        <v>4</v>
      </c>
      <c r="R24" s="9">
        <v>42</v>
      </c>
      <c r="S24" s="9">
        <v>22</v>
      </c>
      <c r="T24" s="13">
        <v>211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2:33" ht="15">
      <c r="B25" s="20">
        <v>2009</v>
      </c>
      <c r="C25" s="21">
        <v>2885</v>
      </c>
      <c r="D25" s="21">
        <v>49996</v>
      </c>
      <c r="E25" s="21">
        <v>24125</v>
      </c>
      <c r="F25" s="21">
        <v>24690</v>
      </c>
      <c r="G25" s="21">
        <v>3795</v>
      </c>
      <c r="H25" s="21">
        <v>21875</v>
      </c>
      <c r="I25" s="21">
        <v>54640</v>
      </c>
      <c r="J25" s="11">
        <f t="shared" si="0"/>
        <v>182006</v>
      </c>
      <c r="L25" s="10">
        <v>2009</v>
      </c>
      <c r="M25" s="9">
        <v>8</v>
      </c>
      <c r="N25" s="9">
        <v>46</v>
      </c>
      <c r="O25" s="9">
        <v>50</v>
      </c>
      <c r="P25" s="9">
        <v>32</v>
      </c>
      <c r="Q25" s="9">
        <v>6</v>
      </c>
      <c r="R25" s="9">
        <v>41</v>
      </c>
      <c r="S25" s="9">
        <v>15</v>
      </c>
      <c r="T25" s="13">
        <v>198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ht="15">
      <c r="B26" s="20">
        <v>2010</v>
      </c>
      <c r="C26" s="21">
        <v>3695</v>
      </c>
      <c r="D26" s="21">
        <v>59875</v>
      </c>
      <c r="E26" s="21">
        <v>26537</v>
      </c>
      <c r="F26" s="21">
        <v>24365</v>
      </c>
      <c r="G26" s="21">
        <v>14675</v>
      </c>
      <c r="H26" s="21">
        <v>5905</v>
      </c>
      <c r="I26" s="21">
        <v>39460</v>
      </c>
      <c r="J26" s="11">
        <f t="shared" si="0"/>
        <v>174512</v>
      </c>
      <c r="L26" s="10">
        <v>2010</v>
      </c>
      <c r="M26" s="9">
        <v>9</v>
      </c>
      <c r="N26" s="9">
        <v>40</v>
      </c>
      <c r="O26" s="9">
        <v>47</v>
      </c>
      <c r="P26" s="9">
        <v>35</v>
      </c>
      <c r="Q26" s="9">
        <v>9</v>
      </c>
      <c r="R26" s="9">
        <v>27</v>
      </c>
      <c r="S26" s="9">
        <v>17</v>
      </c>
      <c r="T26" s="13">
        <v>184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3" ht="15">
      <c r="B27" s="20">
        <v>2011</v>
      </c>
      <c r="C27" s="21">
        <v>3095</v>
      </c>
      <c r="D27" s="21">
        <v>64035</v>
      </c>
      <c r="E27" s="21">
        <v>23590</v>
      </c>
      <c r="F27" s="21">
        <v>29720</v>
      </c>
      <c r="G27" s="21">
        <v>4045</v>
      </c>
      <c r="H27" s="21">
        <v>4380</v>
      </c>
      <c r="I27" s="21">
        <v>43620</v>
      </c>
      <c r="J27" s="11">
        <f t="shared" si="0"/>
        <v>172485</v>
      </c>
      <c r="L27" s="10">
        <v>2011</v>
      </c>
      <c r="M27" s="9">
        <v>8</v>
      </c>
      <c r="N27" s="9">
        <v>49</v>
      </c>
      <c r="O27" s="9">
        <v>43</v>
      </c>
      <c r="P27" s="9">
        <v>44</v>
      </c>
      <c r="Q27" s="9">
        <v>7</v>
      </c>
      <c r="R27" s="9">
        <v>49</v>
      </c>
      <c r="S27" s="9">
        <v>14</v>
      </c>
      <c r="T27" s="13">
        <v>214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2:33" ht="15">
      <c r="B28" s="20">
        <v>2012</v>
      </c>
      <c r="C28" s="21">
        <v>3125</v>
      </c>
      <c r="D28" s="21">
        <v>27145</v>
      </c>
      <c r="E28" s="21">
        <v>54920</v>
      </c>
      <c r="F28" s="21">
        <v>28045</v>
      </c>
      <c r="G28" s="21">
        <v>3055</v>
      </c>
      <c r="H28" s="21">
        <v>5890</v>
      </c>
      <c r="I28" s="21">
        <v>40335</v>
      </c>
      <c r="J28" s="11">
        <f t="shared" si="0"/>
        <v>162515</v>
      </c>
      <c r="L28" s="10">
        <v>2012</v>
      </c>
      <c r="M28" s="9">
        <v>4</v>
      </c>
      <c r="N28" s="9">
        <v>35</v>
      </c>
      <c r="O28" s="9">
        <v>53</v>
      </c>
      <c r="P28" s="9">
        <v>45</v>
      </c>
      <c r="Q28" s="9">
        <v>11</v>
      </c>
      <c r="R28" s="9">
        <v>46</v>
      </c>
      <c r="S28" s="9">
        <v>13</v>
      </c>
      <c r="T28" s="13">
        <v>207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3" ht="15">
      <c r="B29" s="20">
        <v>2013</v>
      </c>
      <c r="C29" s="21">
        <v>1529</v>
      </c>
      <c r="D29" s="21">
        <v>50175</v>
      </c>
      <c r="E29" s="21">
        <v>40285</v>
      </c>
      <c r="F29" s="21">
        <v>26560</v>
      </c>
      <c r="G29" s="21">
        <v>1625</v>
      </c>
      <c r="H29" s="21">
        <v>12140</v>
      </c>
      <c r="I29" s="21">
        <v>38214</v>
      </c>
      <c r="J29" s="11">
        <f t="shared" si="0"/>
        <v>170528</v>
      </c>
      <c r="L29" s="10">
        <v>2013</v>
      </c>
      <c r="M29" s="9">
        <v>9</v>
      </c>
      <c r="N29" s="9">
        <v>40</v>
      </c>
      <c r="O29" s="9">
        <v>58</v>
      </c>
      <c r="P29" s="9">
        <v>46</v>
      </c>
      <c r="Q29" s="9">
        <v>7</v>
      </c>
      <c r="R29" s="9">
        <v>44</v>
      </c>
      <c r="S29" s="9">
        <v>14</v>
      </c>
      <c r="T29" s="13">
        <v>218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2:33" ht="15">
      <c r="B30" s="20">
        <v>2014</v>
      </c>
      <c r="C30" s="21">
        <v>21555</v>
      </c>
      <c r="D30" s="21">
        <v>51900</v>
      </c>
      <c r="E30" s="21">
        <v>43670</v>
      </c>
      <c r="F30" s="21">
        <v>28407</v>
      </c>
      <c r="G30" s="21">
        <v>3260</v>
      </c>
      <c r="H30" s="21">
        <v>9515</v>
      </c>
      <c r="I30" s="21">
        <v>80735</v>
      </c>
      <c r="J30" s="11">
        <f>SUM(C30:I30)</f>
        <v>239042</v>
      </c>
      <c r="L30" s="10">
        <v>2014</v>
      </c>
      <c r="M30" s="9">
        <v>12</v>
      </c>
      <c r="N30" s="9">
        <v>33</v>
      </c>
      <c r="O30" s="9">
        <v>42</v>
      </c>
      <c r="P30" s="9">
        <v>42</v>
      </c>
      <c r="Q30" s="9">
        <v>4</v>
      </c>
      <c r="R30" s="9">
        <v>29</v>
      </c>
      <c r="S30" s="9">
        <v>8</v>
      </c>
      <c r="T30" s="13">
        <v>170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2:33" s="18" customFormat="1" ht="15">
      <c r="B31" s="20">
        <v>2015</v>
      </c>
      <c r="C31" s="21">
        <v>1634</v>
      </c>
      <c r="D31" s="21">
        <v>36939</v>
      </c>
      <c r="E31" s="21">
        <v>21961</v>
      </c>
      <c r="F31" s="21">
        <v>35459</v>
      </c>
      <c r="G31" s="21">
        <v>2690</v>
      </c>
      <c r="H31" s="21">
        <v>3360</v>
      </c>
      <c r="I31" s="21">
        <v>28278</v>
      </c>
      <c r="J31" s="11">
        <f>SUM(C31:I31)</f>
        <v>130321</v>
      </c>
      <c r="L31" s="10"/>
      <c r="M31" s="9"/>
      <c r="N31" s="9"/>
      <c r="O31" s="9"/>
      <c r="P31" s="9"/>
      <c r="Q31" s="9"/>
      <c r="R31" s="9"/>
      <c r="S31" s="9"/>
      <c r="T31" s="1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2:33" s="18" customFormat="1" ht="15">
      <c r="B32" s="20"/>
      <c r="C32" s="21"/>
      <c r="D32" s="21"/>
      <c r="E32" s="21"/>
      <c r="F32" s="21"/>
      <c r="G32" s="21"/>
      <c r="H32" s="21"/>
      <c r="I32" s="21"/>
      <c r="J32" s="11"/>
      <c r="L32" s="10"/>
      <c r="M32" s="9"/>
      <c r="N32" s="9"/>
      <c r="O32" s="9"/>
      <c r="P32" s="9"/>
      <c r="Q32" s="9"/>
      <c r="R32" s="9"/>
      <c r="S32" s="9"/>
      <c r="T32" s="1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3" ht="15.75">
      <c r="B33" s="6" t="s">
        <v>9</v>
      </c>
      <c r="C33" s="16">
        <f>SUM(C5:C31)</f>
        <v>128620</v>
      </c>
      <c r="D33" s="16">
        <f t="shared" ref="D33:I33" si="1">SUM(D5:D31)</f>
        <v>726521</v>
      </c>
      <c r="E33" s="16">
        <f t="shared" si="1"/>
        <v>499241</v>
      </c>
      <c r="F33" s="16">
        <f t="shared" si="1"/>
        <v>382211</v>
      </c>
      <c r="G33" s="16">
        <f t="shared" si="1"/>
        <v>63285</v>
      </c>
      <c r="H33" s="16">
        <f t="shared" si="1"/>
        <v>159615</v>
      </c>
      <c r="I33" s="16">
        <f t="shared" si="1"/>
        <v>694429</v>
      </c>
      <c r="J33" s="12">
        <f>SUM(C33:I33)</f>
        <v>2653922</v>
      </c>
      <c r="L33" s="6" t="s">
        <v>9</v>
      </c>
      <c r="M33" s="15">
        <v>138</v>
      </c>
      <c r="N33" s="15">
        <v>520</v>
      </c>
      <c r="O33" s="15">
        <v>617</v>
      </c>
      <c r="P33" s="15">
        <v>511</v>
      </c>
      <c r="Q33" s="15">
        <v>79</v>
      </c>
      <c r="R33" s="15">
        <v>478</v>
      </c>
      <c r="S33" s="15">
        <v>273</v>
      </c>
      <c r="T33" s="14">
        <v>2616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>
      <c r="C34" s="2"/>
      <c r="J34" s="2">
        <f>SUM(J5:J31)</f>
        <v>2653922</v>
      </c>
    </row>
  </sheetData>
  <pageMargins left="0.7" right="0.7" top="0.75" bottom="0.75" header="0.3" footer="0.3"/>
  <pageSetup paperSize="9" orientation="portrait" horizontalDpi="0" verticalDpi="0" r:id="rId1"/>
  <ignoredErrors>
    <ignoredError sqref="J5:J3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Madrid</vt:lpstr>
      <vt:lpstr>Barcelona</vt:lpstr>
    </vt:vector>
  </TitlesOfParts>
  <Company>PropertyWeb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PropertyWeb</dc:creator>
  <cp:lastModifiedBy>Pablo Escamilla</cp:lastModifiedBy>
  <cp:lastPrinted>2015-01-09T08:46:27Z</cp:lastPrinted>
  <dcterms:created xsi:type="dcterms:W3CDTF">2012-09-23T14:30:17Z</dcterms:created>
  <dcterms:modified xsi:type="dcterms:W3CDTF">2015-09-06T19:42:38Z</dcterms:modified>
</cp:coreProperties>
</file>